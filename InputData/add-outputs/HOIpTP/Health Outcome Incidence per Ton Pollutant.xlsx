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TN\add-outputs\HOIpTP\"/>
    </mc:Choice>
  </mc:AlternateContent>
  <xr:revisionPtr revIDLastSave="0" documentId="8_{10BA0496-8407-41CC-82F8-816FF682A97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B3" i="19"/>
  <c r="J3" i="19" s="1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B17" i="18"/>
  <c r="V17" i="18" s="1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AA14" i="18"/>
  <c r="U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R8" i="18"/>
  <c r="M8" i="18"/>
  <c r="F8" i="18"/>
  <c r="E8" i="18"/>
  <c r="B8" i="18"/>
  <c r="W8" i="18" s="1"/>
  <c r="AB7" i="18"/>
  <c r="AA7" i="18"/>
  <c r="H7" i="18"/>
  <c r="D7" i="18"/>
  <c r="B7" i="18"/>
  <c r="G7" i="18" s="1"/>
  <c r="B6" i="18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Y2" i="18"/>
  <c r="V2" i="18"/>
  <c r="O2" i="18"/>
  <c r="K2" i="18"/>
  <c r="J2" i="18"/>
  <c r="D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B17" i="17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V8" i="17"/>
  <c r="T8" i="17"/>
  <c r="P8" i="17"/>
  <c r="O8" i="17"/>
  <c r="F8" i="17"/>
  <c r="D8" i="17"/>
  <c r="B8" i="17"/>
  <c r="AB8" i="17" s="1"/>
  <c r="B7" i="17"/>
  <c r="G7" i="17" s="1"/>
  <c r="Q6" i="17"/>
  <c r="L6" i="17"/>
  <c r="B6" i="17"/>
  <c r="M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Z17" i="16"/>
  <c r="Y17" i="16"/>
  <c r="V17" i="16"/>
  <c r="U17" i="16"/>
  <c r="R17" i="16"/>
  <c r="H17" i="16"/>
  <c r="D17" i="16"/>
  <c r="B17" i="16"/>
  <c r="B16" i="16"/>
  <c r="AA15" i="16"/>
  <c r="X15" i="16"/>
  <c r="K15" i="16"/>
  <c r="B15" i="16"/>
  <c r="Y15" i="16" s="1"/>
  <c r="B14" i="16"/>
  <c r="G14" i="16" s="1"/>
  <c r="X13" i="16"/>
  <c r="W13" i="16"/>
  <c r="J13" i="16"/>
  <c r="D13" i="16"/>
  <c r="B13" i="16"/>
  <c r="Y12" i="16"/>
  <c r="W12" i="16"/>
  <c r="I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O7" i="16"/>
  <c r="M7" i="16"/>
  <c r="H7" i="16"/>
  <c r="G7" i="16"/>
  <c r="E7" i="16"/>
  <c r="D7" i="16"/>
  <c r="C7" i="16"/>
  <c r="B7" i="16"/>
  <c r="B6" i="16"/>
  <c r="W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X3" i="16"/>
  <c r="T3" i="16"/>
  <c r="R3" i="16"/>
  <c r="B3" i="16"/>
  <c r="Z3" i="16" s="1"/>
  <c r="AA2" i="16"/>
  <c r="Y2" i="16"/>
  <c r="T2" i="16"/>
  <c r="B2" i="16"/>
  <c r="Q2" i="16" s="1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L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U15" i="15"/>
  <c r="T15" i="15"/>
  <c r="S15" i="15"/>
  <c r="E15" i="15"/>
  <c r="B15" i="15"/>
  <c r="K15" i="15" s="1"/>
  <c r="B14" i="15"/>
  <c r="W13" i="15"/>
  <c r="V13" i="15"/>
  <c r="T13" i="15"/>
  <c r="S13" i="15"/>
  <c r="R13" i="15"/>
  <c r="Q13" i="15"/>
  <c r="O13" i="15"/>
  <c r="N13" i="15"/>
  <c r="L13" i="15"/>
  <c r="K13" i="15"/>
  <c r="J13" i="15"/>
  <c r="I13" i="15"/>
  <c r="H13" i="15"/>
  <c r="G13" i="15"/>
  <c r="F13" i="15"/>
  <c r="E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L12" i="15"/>
  <c r="K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A8" i="15"/>
  <c r="Z8" i="15"/>
  <c r="B8" i="15"/>
  <c r="L8" i="15" s="1"/>
  <c r="Z7" i="15"/>
  <c r="Y7" i="15"/>
  <c r="S7" i="15"/>
  <c r="R7" i="15"/>
  <c r="P7" i="15"/>
  <c r="O7" i="15"/>
  <c r="N7" i="15"/>
  <c r="M7" i="15"/>
  <c r="L7" i="15"/>
  <c r="J7" i="15"/>
  <c r="F7" i="15"/>
  <c r="C7" i="15"/>
  <c r="B7" i="15"/>
  <c r="W7" i="15" s="1"/>
  <c r="K6" i="15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U3" i="15"/>
  <c r="T3" i="15"/>
  <c r="Q3" i="15"/>
  <c r="N3" i="15"/>
  <c r="M3" i="15"/>
  <c r="L3" i="15"/>
  <c r="K3" i="15"/>
  <c r="I3" i="15"/>
  <c r="F3" i="15"/>
  <c r="E3" i="15"/>
  <c r="D3" i="15"/>
  <c r="B3" i="15"/>
  <c r="P3" i="15" s="1"/>
  <c r="AB2" i="15"/>
  <c r="AA2" i="15"/>
  <c r="S2" i="15"/>
  <c r="R2" i="15"/>
  <c r="Q2" i="15"/>
  <c r="P2" i="15"/>
  <c r="O2" i="15"/>
  <c r="N2" i="15"/>
  <c r="M2" i="15"/>
  <c r="L2" i="15"/>
  <c r="G2" i="15"/>
  <c r="F2" i="15"/>
  <c r="C2" i="15"/>
  <c r="B2" i="15"/>
  <c r="Z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AA15" i="14"/>
  <c r="Y15" i="14"/>
  <c r="W15" i="14"/>
  <c r="V15" i="14"/>
  <c r="U15" i="14"/>
  <c r="S15" i="14"/>
  <c r="Q15" i="14"/>
  <c r="P15" i="14"/>
  <c r="O15" i="14"/>
  <c r="J15" i="14"/>
  <c r="B15" i="14"/>
  <c r="Z15" i="14" s="1"/>
  <c r="AB14" i="14"/>
  <c r="S14" i="14"/>
  <c r="R14" i="14"/>
  <c r="B14" i="14"/>
  <c r="Y14" i="14" s="1"/>
  <c r="Q13" i="14"/>
  <c r="N13" i="14"/>
  <c r="B13" i="14"/>
  <c r="F12" i="14"/>
  <c r="B12" i="14"/>
  <c r="E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V7" i="14"/>
  <c r="S7" i="14"/>
  <c r="O7" i="14"/>
  <c r="K7" i="14"/>
  <c r="I7" i="14"/>
  <c r="H7" i="14"/>
  <c r="G7" i="14"/>
  <c r="E7" i="14"/>
  <c r="D7" i="14"/>
  <c r="C7" i="14"/>
  <c r="B7" i="14"/>
  <c r="T6" i="14"/>
  <c r="M6" i="14"/>
  <c r="H6" i="14"/>
  <c r="G6" i="14"/>
  <c r="F6" i="14"/>
  <c r="E6" i="14"/>
  <c r="B6" i="14"/>
  <c r="AA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B3" i="14"/>
  <c r="B2" i="14"/>
  <c r="F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F17" i="13"/>
  <c r="E17" i="13"/>
  <c r="B17" i="13"/>
  <c r="C17" i="13" s="1"/>
  <c r="U16" i="13"/>
  <c r="T16" i="13"/>
  <c r="H16" i="13"/>
  <c r="G16" i="13"/>
  <c r="B16" i="13"/>
  <c r="AA16" i="13" s="1"/>
  <c r="AB15" i="13"/>
  <c r="AA15" i="13"/>
  <c r="Y15" i="13"/>
  <c r="W15" i="13"/>
  <c r="V15" i="13"/>
  <c r="T15" i="13"/>
  <c r="R15" i="13"/>
  <c r="P15" i="13"/>
  <c r="O15" i="13"/>
  <c r="N15" i="13"/>
  <c r="M15" i="13"/>
  <c r="L15" i="13"/>
  <c r="K15" i="13"/>
  <c r="J15" i="13"/>
  <c r="I15" i="13"/>
  <c r="G15" i="13"/>
  <c r="E15" i="13"/>
  <c r="D15" i="13"/>
  <c r="C15" i="13"/>
  <c r="B15" i="13"/>
  <c r="X15" i="13" s="1"/>
  <c r="Y14" i="13"/>
  <c r="W14" i="13"/>
  <c r="V14" i="13"/>
  <c r="S14" i="13"/>
  <c r="Q14" i="13"/>
  <c r="P14" i="13"/>
  <c r="O14" i="13"/>
  <c r="N14" i="13"/>
  <c r="M14" i="13"/>
  <c r="L14" i="13"/>
  <c r="K14" i="13"/>
  <c r="J14" i="13"/>
  <c r="F14" i="13"/>
  <c r="B14" i="13"/>
  <c r="B13" i="13"/>
  <c r="W12" i="13"/>
  <c r="U12" i="13"/>
  <c r="T12" i="13"/>
  <c r="S12" i="13"/>
  <c r="M12" i="13"/>
  <c r="L12" i="13"/>
  <c r="J12" i="13"/>
  <c r="H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B7" i="13"/>
  <c r="Z6" i="13"/>
  <c r="O6" i="13"/>
  <c r="M6" i="13"/>
  <c r="K6" i="13"/>
  <c r="J6" i="13"/>
  <c r="H6" i="13"/>
  <c r="G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L3" i="13"/>
  <c r="K3" i="13"/>
  <c r="J3" i="13"/>
  <c r="I3" i="13"/>
  <c r="F3" i="13"/>
  <c r="E3" i="13"/>
  <c r="C3" i="13"/>
  <c r="B3" i="13"/>
  <c r="AA3" i="13" s="1"/>
  <c r="AB2" i="13"/>
  <c r="Z2" i="13"/>
  <c r="Y2" i="13"/>
  <c r="X2" i="13"/>
  <c r="V2" i="13"/>
  <c r="U2" i="13"/>
  <c r="R2" i="13"/>
  <c r="Q2" i="13"/>
  <c r="P2" i="13"/>
  <c r="O2" i="13"/>
  <c r="M2" i="13"/>
  <c r="L2" i="13"/>
  <c r="J2" i="13"/>
  <c r="I2" i="13"/>
  <c r="H2" i="13"/>
  <c r="G2" i="13"/>
  <c r="F2" i="13"/>
  <c r="E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G17" i="12"/>
  <c r="B17" i="12"/>
  <c r="T17" i="12" s="1"/>
  <c r="AB16" i="12"/>
  <c r="AA16" i="12"/>
  <c r="Z16" i="12"/>
  <c r="J16" i="12"/>
  <c r="C16" i="12"/>
  <c r="B16" i="12"/>
  <c r="AB15" i="12"/>
  <c r="Z15" i="12"/>
  <c r="Y15" i="12"/>
  <c r="V15" i="12"/>
  <c r="T15" i="12"/>
  <c r="S15" i="12"/>
  <c r="R15" i="12"/>
  <c r="Q15" i="12"/>
  <c r="O15" i="12"/>
  <c r="M15" i="12"/>
  <c r="L15" i="12"/>
  <c r="I15" i="12"/>
  <c r="B15" i="12"/>
  <c r="W15" i="12" s="1"/>
  <c r="AB14" i="12"/>
  <c r="Y14" i="12"/>
  <c r="X14" i="12"/>
  <c r="W14" i="12"/>
  <c r="V14" i="12"/>
  <c r="R14" i="12"/>
  <c r="Q14" i="12"/>
  <c r="K14" i="12"/>
  <c r="B14" i="12"/>
  <c r="L14" i="12" s="1"/>
  <c r="B13" i="12"/>
  <c r="AB12" i="12"/>
  <c r="AA12" i="12"/>
  <c r="Z12" i="12"/>
  <c r="H12" i="12"/>
  <c r="C12" i="12"/>
  <c r="B12" i="12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AB7" i="12"/>
  <c r="AA7" i="12"/>
  <c r="Z7" i="12"/>
  <c r="Y7" i="12"/>
  <c r="X7" i="12"/>
  <c r="W7" i="12"/>
  <c r="S7" i="12"/>
  <c r="B7" i="12"/>
  <c r="K7" i="12" s="1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B3" i="12"/>
  <c r="K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B15" i="11"/>
  <c r="R15" i="11" s="1"/>
  <c r="T14" i="11"/>
  <c r="Q14" i="11"/>
  <c r="P14" i="11"/>
  <c r="O14" i="11"/>
  <c r="N14" i="11"/>
  <c r="M14" i="11"/>
  <c r="L14" i="11"/>
  <c r="J14" i="11"/>
  <c r="I14" i="11"/>
  <c r="H14" i="11"/>
  <c r="G14" i="11"/>
  <c r="F14" i="11"/>
  <c r="E14" i="11"/>
  <c r="C14" i="11"/>
  <c r="B14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AB13" i="11" s="1"/>
  <c r="AB12" i="11"/>
  <c r="Z12" i="11"/>
  <c r="Y12" i="11"/>
  <c r="X12" i="11"/>
  <c r="U12" i="11"/>
  <c r="T12" i="11"/>
  <c r="P12" i="11"/>
  <c r="O12" i="11"/>
  <c r="L12" i="11"/>
  <c r="J12" i="11"/>
  <c r="I12" i="11"/>
  <c r="C12" i="11"/>
  <c r="B12" i="11"/>
  <c r="M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T8" i="11"/>
  <c r="R8" i="11"/>
  <c r="P8" i="11"/>
  <c r="O8" i="11"/>
  <c r="N8" i="11"/>
  <c r="K8" i="11"/>
  <c r="J8" i="11"/>
  <c r="I8" i="11"/>
  <c r="D8" i="11"/>
  <c r="C8" i="11"/>
  <c r="B8" i="11"/>
  <c r="AA7" i="11"/>
  <c r="Z7" i="11"/>
  <c r="X7" i="11"/>
  <c r="W7" i="11"/>
  <c r="V7" i="11"/>
  <c r="U7" i="11"/>
  <c r="T7" i="11"/>
  <c r="S7" i="11"/>
  <c r="P7" i="11"/>
  <c r="O7" i="11"/>
  <c r="N7" i="11"/>
  <c r="M7" i="11"/>
  <c r="L7" i="11"/>
  <c r="K7" i="11"/>
  <c r="J7" i="11"/>
  <c r="I7" i="11"/>
  <c r="G7" i="11"/>
  <c r="F7" i="11"/>
  <c r="E7" i="11"/>
  <c r="D7" i="11"/>
  <c r="C7" i="11"/>
  <c r="B7" i="11"/>
  <c r="X6" i="11"/>
  <c r="U6" i="11"/>
  <c r="T6" i="11"/>
  <c r="R6" i="11"/>
  <c r="Q6" i="11"/>
  <c r="P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K3" i="11"/>
  <c r="J3" i="11"/>
  <c r="I3" i="11"/>
  <c r="H3" i="11"/>
  <c r="E3" i="11"/>
  <c r="D3" i="11"/>
  <c r="C3" i="11"/>
  <c r="B3" i="11"/>
  <c r="M3" i="11" s="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Y15" i="10"/>
  <c r="W15" i="10"/>
  <c r="V15" i="10"/>
  <c r="U15" i="10"/>
  <c r="T15" i="10"/>
  <c r="Q15" i="10"/>
  <c r="P15" i="10"/>
  <c r="O15" i="10"/>
  <c r="N15" i="10"/>
  <c r="M15" i="10"/>
  <c r="L15" i="10"/>
  <c r="K15" i="10"/>
  <c r="I15" i="10"/>
  <c r="G15" i="10"/>
  <c r="F15" i="10"/>
  <c r="E15" i="10"/>
  <c r="C15" i="10"/>
  <c r="B15" i="10"/>
  <c r="AB14" i="10"/>
  <c r="Z14" i="10"/>
  <c r="Y14" i="10"/>
  <c r="W14" i="10"/>
  <c r="V14" i="10"/>
  <c r="S14" i="10"/>
  <c r="R14" i="10"/>
  <c r="Q14" i="10"/>
  <c r="P14" i="10"/>
  <c r="O14" i="10"/>
  <c r="N14" i="10"/>
  <c r="M14" i="10"/>
  <c r="L14" i="10"/>
  <c r="C14" i="10"/>
  <c r="B14" i="10"/>
  <c r="T14" i="10" s="1"/>
  <c r="B13" i="10"/>
  <c r="F13" i="10" s="1"/>
  <c r="B12" i="10"/>
  <c r="AB12" i="10" s="1"/>
  <c r="C11" i="10"/>
  <c r="B11" i="10"/>
  <c r="B10" i="10"/>
  <c r="B9" i="10"/>
  <c r="AB8" i="10"/>
  <c r="Z8" i="10"/>
  <c r="N8" i="10"/>
  <c r="K8" i="10"/>
  <c r="I8" i="10"/>
  <c r="G8" i="10"/>
  <c r="C8" i="10"/>
  <c r="B8" i="10"/>
  <c r="Q8" i="10" s="1"/>
  <c r="X7" i="10"/>
  <c r="B7" i="10"/>
  <c r="Y6" i="10"/>
  <c r="R6" i="10"/>
  <c r="O6" i="10"/>
  <c r="L6" i="10"/>
  <c r="J6" i="10"/>
  <c r="H6" i="10"/>
  <c r="E6" i="10"/>
  <c r="C6" i="10"/>
  <c r="B6" i="10"/>
  <c r="AA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J3" i="10"/>
  <c r="B3" i="10"/>
  <c r="Q3" i="10" s="1"/>
  <c r="B2" i="10"/>
  <c r="AA2" i="10" s="1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B17" i="9"/>
  <c r="M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K15" i="9"/>
  <c r="B15" i="9"/>
  <c r="AB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G14" i="9"/>
  <c r="F14" i="9"/>
  <c r="D14" i="9"/>
  <c r="B14" i="9"/>
  <c r="Y14" i="9" s="1"/>
  <c r="B13" i="9"/>
  <c r="AB12" i="9"/>
  <c r="AA12" i="9"/>
  <c r="Z12" i="9"/>
  <c r="Y12" i="9"/>
  <c r="W12" i="9"/>
  <c r="U12" i="9"/>
  <c r="B12" i="9"/>
  <c r="X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K8" i="9"/>
  <c r="G8" i="9"/>
  <c r="F8" i="9"/>
  <c r="E8" i="9"/>
  <c r="C8" i="9"/>
  <c r="B8" i="9"/>
  <c r="R8" i="9" s="1"/>
  <c r="AB7" i="9"/>
  <c r="AA7" i="9"/>
  <c r="X7" i="9"/>
  <c r="W7" i="9"/>
  <c r="U7" i="9"/>
  <c r="T7" i="9"/>
  <c r="S7" i="9"/>
  <c r="R7" i="9"/>
  <c r="B7" i="9"/>
  <c r="F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B3" i="9"/>
  <c r="AB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AA15" i="8"/>
  <c r="Y15" i="8"/>
  <c r="U15" i="8"/>
  <c r="P15" i="8"/>
  <c r="O15" i="8"/>
  <c r="M15" i="8"/>
  <c r="L15" i="8"/>
  <c r="K15" i="8"/>
  <c r="J15" i="8"/>
  <c r="I15" i="8"/>
  <c r="H15" i="8"/>
  <c r="F15" i="8"/>
  <c r="B15" i="8"/>
  <c r="W14" i="8"/>
  <c r="V14" i="8"/>
  <c r="U14" i="8"/>
  <c r="T14" i="8"/>
  <c r="S14" i="8"/>
  <c r="R14" i="8"/>
  <c r="Q14" i="8"/>
  <c r="O14" i="8"/>
  <c r="N14" i="8"/>
  <c r="M14" i="8"/>
  <c r="L14" i="8"/>
  <c r="K14" i="8"/>
  <c r="J14" i="8"/>
  <c r="B14" i="8"/>
  <c r="Y14" i="8" s="1"/>
  <c r="AA13" i="8"/>
  <c r="X13" i="8"/>
  <c r="W13" i="8"/>
  <c r="V13" i="8"/>
  <c r="U13" i="8"/>
  <c r="T13" i="8"/>
  <c r="R13" i="8"/>
  <c r="Q13" i="8"/>
  <c r="P13" i="8"/>
  <c r="O13" i="8"/>
  <c r="N13" i="8"/>
  <c r="M13" i="8"/>
  <c r="L13" i="8"/>
  <c r="B13" i="8"/>
  <c r="S13" i="8" s="1"/>
  <c r="AB12" i="8"/>
  <c r="AA12" i="8"/>
  <c r="Z12" i="8"/>
  <c r="Y12" i="8"/>
  <c r="X12" i="8"/>
  <c r="V12" i="8"/>
  <c r="U12" i="8"/>
  <c r="T12" i="8"/>
  <c r="S12" i="8"/>
  <c r="R12" i="8"/>
  <c r="Q12" i="8"/>
  <c r="O12" i="8"/>
  <c r="N12" i="8"/>
  <c r="H12" i="8"/>
  <c r="B12" i="8"/>
  <c r="W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Z7" i="8"/>
  <c r="Y7" i="8"/>
  <c r="W7" i="8"/>
  <c r="U7" i="8"/>
  <c r="T7" i="8"/>
  <c r="S7" i="8"/>
  <c r="Q7" i="8"/>
  <c r="P7" i="8"/>
  <c r="O7" i="8"/>
  <c r="K7" i="8"/>
  <c r="G7" i="8"/>
  <c r="B7" i="8"/>
  <c r="M7" i="8" s="1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B3" i="8"/>
  <c r="Z3" i="8" s="1"/>
  <c r="AA2" i="8"/>
  <c r="Z2" i="8"/>
  <c r="W2" i="8"/>
  <c r="V2" i="8"/>
  <c r="U2" i="8"/>
  <c r="T2" i="8"/>
  <c r="H2" i="8"/>
  <c r="G2" i="8"/>
  <c r="F2" i="8"/>
  <c r="C2" i="8"/>
  <c r="B2" i="8"/>
  <c r="S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B17" i="7"/>
  <c r="N16" i="7"/>
  <c r="M16" i="7"/>
  <c r="L16" i="7"/>
  <c r="J16" i="7"/>
  <c r="H16" i="7"/>
  <c r="G16" i="7"/>
  <c r="B16" i="7"/>
  <c r="AA16" i="7" s="1"/>
  <c r="AA15" i="7"/>
  <c r="Y15" i="7"/>
  <c r="U15" i="7"/>
  <c r="T15" i="7"/>
  <c r="S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C15" i="7"/>
  <c r="B15" i="7"/>
  <c r="W15" i="7" s="1"/>
  <c r="T14" i="7"/>
  <c r="S14" i="7"/>
  <c r="R14" i="7"/>
  <c r="Q14" i="7"/>
  <c r="O14" i="7"/>
  <c r="N14" i="7"/>
  <c r="M14" i="7"/>
  <c r="L14" i="7"/>
  <c r="J14" i="7"/>
  <c r="I14" i="7"/>
  <c r="H14" i="7"/>
  <c r="F14" i="7"/>
  <c r="D14" i="7"/>
  <c r="B14" i="7"/>
  <c r="I13" i="7"/>
  <c r="H13" i="7"/>
  <c r="F13" i="7"/>
  <c r="E13" i="7"/>
  <c r="B13" i="7"/>
  <c r="AB12" i="7"/>
  <c r="Y12" i="7"/>
  <c r="X12" i="7"/>
  <c r="E12" i="7"/>
  <c r="C12" i="7"/>
  <c r="B12" i="7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Z8" i="7"/>
  <c r="Y8" i="7"/>
  <c r="W8" i="7"/>
  <c r="V8" i="7"/>
  <c r="U8" i="7"/>
  <c r="T8" i="7"/>
  <c r="R8" i="7"/>
  <c r="Q8" i="7"/>
  <c r="B8" i="7"/>
  <c r="L8" i="7" s="1"/>
  <c r="AA7" i="7"/>
  <c r="Z7" i="7"/>
  <c r="Y7" i="7"/>
  <c r="W7" i="7"/>
  <c r="V7" i="7"/>
  <c r="U7" i="7"/>
  <c r="S7" i="7"/>
  <c r="R7" i="7"/>
  <c r="E7" i="7"/>
  <c r="D7" i="7"/>
  <c r="C7" i="7"/>
  <c r="B7" i="7"/>
  <c r="Q7" i="7" s="1"/>
  <c r="AB6" i="7"/>
  <c r="Z6" i="7"/>
  <c r="X6" i="7"/>
  <c r="W6" i="7"/>
  <c r="V6" i="7"/>
  <c r="U6" i="7"/>
  <c r="S6" i="7"/>
  <c r="R6" i="7"/>
  <c r="Q6" i="7"/>
  <c r="B6" i="7"/>
  <c r="F6" i="7" s="1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F3" i="7"/>
  <c r="B3" i="7"/>
  <c r="Z2" i="7"/>
  <c r="S2" i="7"/>
  <c r="R2" i="7"/>
  <c r="Q2" i="7"/>
  <c r="P2" i="7"/>
  <c r="O2" i="7"/>
  <c r="N2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W17" i="6"/>
  <c r="V17" i="6"/>
  <c r="U17" i="6"/>
  <c r="T17" i="6"/>
  <c r="S17" i="6"/>
  <c r="R17" i="6"/>
  <c r="Q17" i="6"/>
  <c r="P17" i="6"/>
  <c r="O17" i="6"/>
  <c r="B17" i="6"/>
  <c r="E17" i="6" s="1"/>
  <c r="E16" i="6"/>
  <c r="D16" i="6"/>
  <c r="C16" i="6"/>
  <c r="B16" i="6"/>
  <c r="AB15" i="6"/>
  <c r="AA15" i="6"/>
  <c r="Z15" i="6"/>
  <c r="Y15" i="6"/>
  <c r="W15" i="6"/>
  <c r="V15" i="6"/>
  <c r="U15" i="6"/>
  <c r="T15" i="6"/>
  <c r="D15" i="6"/>
  <c r="C15" i="6"/>
  <c r="B15" i="6"/>
  <c r="AB14" i="6"/>
  <c r="AA14" i="6"/>
  <c r="B14" i="6"/>
  <c r="Y13" i="6"/>
  <c r="V13" i="6"/>
  <c r="T13" i="6"/>
  <c r="R13" i="6"/>
  <c r="Q13" i="6"/>
  <c r="P13" i="6"/>
  <c r="B13" i="6"/>
  <c r="I13" i="6" s="1"/>
  <c r="AB12" i="6"/>
  <c r="Y12" i="6"/>
  <c r="W12" i="6"/>
  <c r="V12" i="6"/>
  <c r="U12" i="6"/>
  <c r="T12" i="6"/>
  <c r="S12" i="6"/>
  <c r="R12" i="6"/>
  <c r="P12" i="6"/>
  <c r="O12" i="6"/>
  <c r="L12" i="6"/>
  <c r="K12" i="6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B8" i="6"/>
  <c r="B7" i="6"/>
  <c r="J7" i="6" s="1"/>
  <c r="AB6" i="6"/>
  <c r="AA6" i="6"/>
  <c r="O6" i="6"/>
  <c r="N6" i="6"/>
  <c r="M6" i="6"/>
  <c r="L6" i="6"/>
  <c r="K6" i="6"/>
  <c r="B6" i="6"/>
  <c r="P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AB2" i="6"/>
  <c r="AA2" i="6"/>
  <c r="Z2" i="6"/>
  <c r="T2" i="6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P17" i="5" s="1"/>
  <c r="B16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B15" i="5"/>
  <c r="X15" i="5" s="1"/>
  <c r="B14" i="5"/>
  <c r="D14" i="5" s="1"/>
  <c r="Z13" i="5"/>
  <c r="Y13" i="5"/>
  <c r="X13" i="5"/>
  <c r="R13" i="5"/>
  <c r="M13" i="5"/>
  <c r="K13" i="5"/>
  <c r="J13" i="5"/>
  <c r="I13" i="5"/>
  <c r="H13" i="5"/>
  <c r="G13" i="5"/>
  <c r="B13" i="5"/>
  <c r="AB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U7" i="5"/>
  <c r="I7" i="5"/>
  <c r="B7" i="5"/>
  <c r="Z6" i="5"/>
  <c r="X6" i="5"/>
  <c r="W6" i="5"/>
  <c r="R6" i="5"/>
  <c r="M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S3" i="5"/>
  <c r="Q3" i="5"/>
  <c r="N3" i="5"/>
  <c r="M3" i="5"/>
  <c r="L3" i="5"/>
  <c r="B3" i="5"/>
  <c r="F2" i="5"/>
  <c r="E2" i="5"/>
  <c r="D2" i="5"/>
  <c r="B2" i="5"/>
  <c r="C2" i="5" s="1"/>
  <c r="B2" i="1"/>
  <c r="Z13" i="7" l="1"/>
  <c r="R13" i="7"/>
  <c r="AB13" i="7"/>
  <c r="AA13" i="7"/>
  <c r="Q13" i="7"/>
  <c r="K13" i="7"/>
  <c r="X13" i="7"/>
  <c r="W13" i="7"/>
  <c r="O13" i="7"/>
  <c r="V13" i="7"/>
  <c r="S13" i="7"/>
  <c r="T13" i="7"/>
  <c r="N13" i="7"/>
  <c r="M13" i="7"/>
  <c r="J13" i="7"/>
  <c r="AB17" i="7"/>
  <c r="G17" i="7"/>
  <c r="U17" i="7"/>
  <c r="T17" i="7"/>
  <c r="I17" i="7"/>
  <c r="S17" i="7"/>
  <c r="Q17" i="7"/>
  <c r="M17" i="7"/>
  <c r="K17" i="7"/>
  <c r="F17" i="7"/>
  <c r="L17" i="7"/>
  <c r="J17" i="7"/>
  <c r="H17" i="7"/>
  <c r="E17" i="7"/>
  <c r="D17" i="7"/>
  <c r="V17" i="7"/>
  <c r="C3" i="8"/>
  <c r="F3" i="12"/>
  <c r="W3" i="8"/>
  <c r="I3" i="12"/>
  <c r="G6" i="15"/>
  <c r="N6" i="15"/>
  <c r="L6" i="15"/>
  <c r="E6" i="15"/>
  <c r="D6" i="15"/>
  <c r="AA6" i="15"/>
  <c r="X6" i="15"/>
  <c r="W6" i="15"/>
  <c r="T6" i="15"/>
  <c r="R6" i="15"/>
  <c r="AB6" i="15"/>
  <c r="V6" i="15"/>
  <c r="U6" i="15"/>
  <c r="S6" i="15"/>
  <c r="P6" i="15"/>
  <c r="Q6" i="15"/>
  <c r="O6" i="15"/>
  <c r="M6" i="15"/>
  <c r="Q3" i="19"/>
  <c r="W13" i="9"/>
  <c r="Q13" i="9"/>
  <c r="AA13" i="9"/>
  <c r="Z13" i="9"/>
  <c r="Y13" i="9"/>
  <c r="X13" i="9"/>
  <c r="S13" i="9"/>
  <c r="M13" i="9"/>
  <c r="D13" i="9"/>
  <c r="Z12" i="10"/>
  <c r="I6" i="15"/>
  <c r="V7" i="17"/>
  <c r="T7" i="17"/>
  <c r="R7" i="17"/>
  <c r="O7" i="17"/>
  <c r="K7" i="17"/>
  <c r="J7" i="17"/>
  <c r="F7" i="17"/>
  <c r="E7" i="17"/>
  <c r="D7" i="17"/>
  <c r="Y7" i="17"/>
  <c r="Z7" i="17"/>
  <c r="X7" i="17"/>
  <c r="W7" i="17"/>
  <c r="X17" i="18"/>
  <c r="U17" i="18"/>
  <c r="S17" i="18"/>
  <c r="Q17" i="18"/>
  <c r="P17" i="18"/>
  <c r="O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S7" i="17"/>
  <c r="T17" i="18"/>
  <c r="C13" i="9"/>
  <c r="AA12" i="10"/>
  <c r="J6" i="15"/>
  <c r="L3" i="12"/>
  <c r="G12" i="10"/>
  <c r="E17" i="9"/>
  <c r="D13" i="10"/>
  <c r="Z2" i="17"/>
  <c r="W2" i="17"/>
  <c r="I2" i="17"/>
  <c r="G2" i="17"/>
  <c r="F2" i="17"/>
  <c r="L2" i="17"/>
  <c r="J2" i="17"/>
  <c r="U14" i="6"/>
  <c r="W14" i="6"/>
  <c r="R14" i="6"/>
  <c r="Q14" i="6"/>
  <c r="K14" i="6"/>
  <c r="J14" i="6"/>
  <c r="P14" i="6"/>
  <c r="O14" i="6"/>
  <c r="N14" i="6"/>
  <c r="I14" i="6"/>
  <c r="M14" i="6"/>
  <c r="L14" i="6"/>
  <c r="H14" i="6"/>
  <c r="F14" i="6"/>
  <c r="E14" i="6"/>
  <c r="S14" i="6"/>
  <c r="F17" i="9"/>
  <c r="N17" i="18"/>
  <c r="G17" i="9"/>
  <c r="Y7" i="13"/>
  <c r="N7" i="13"/>
  <c r="L7" i="13"/>
  <c r="F7" i="13"/>
  <c r="E7" i="13"/>
  <c r="AB7" i="13"/>
  <c r="AA7" i="13"/>
  <c r="I7" i="13"/>
  <c r="Z7" i="13"/>
  <c r="M7" i="13"/>
  <c r="X7" i="13"/>
  <c r="W7" i="13"/>
  <c r="U7" i="13"/>
  <c r="S7" i="13"/>
  <c r="R7" i="13"/>
  <c r="H7" i="13"/>
  <c r="G7" i="13"/>
  <c r="D7" i="13"/>
  <c r="F3" i="19"/>
  <c r="AB3" i="8"/>
  <c r="C14" i="6"/>
  <c r="L17" i="5"/>
  <c r="G2" i="11"/>
  <c r="C7" i="13"/>
  <c r="L3" i="14"/>
  <c r="J3" i="14"/>
  <c r="E3" i="14"/>
  <c r="D3" i="14"/>
  <c r="Z3" i="14"/>
  <c r="X3" i="14"/>
  <c r="S3" i="14"/>
  <c r="AB3" i="14"/>
  <c r="T3" i="14"/>
  <c r="Y3" i="14"/>
  <c r="W3" i="14"/>
  <c r="U3" i="14"/>
  <c r="V3" i="14"/>
  <c r="P3" i="14"/>
  <c r="N3" i="14"/>
  <c r="W13" i="13"/>
  <c r="X13" i="13"/>
  <c r="V13" i="13"/>
  <c r="R13" i="13"/>
  <c r="P13" i="13"/>
  <c r="Z13" i="13"/>
  <c r="Y13" i="13"/>
  <c r="U13" i="13"/>
  <c r="M13" i="13"/>
  <c r="K13" i="13"/>
  <c r="T13" i="13"/>
  <c r="S13" i="13"/>
  <c r="H13" i="13"/>
  <c r="Q13" i="13"/>
  <c r="O13" i="13"/>
  <c r="N13" i="13"/>
  <c r="G13" i="13"/>
  <c r="F13" i="13"/>
  <c r="R17" i="18"/>
  <c r="Y13" i="10"/>
  <c r="AA13" i="10"/>
  <c r="P13" i="10"/>
  <c r="Z13" i="10"/>
  <c r="M13" i="10"/>
  <c r="H13" i="10"/>
  <c r="J17" i="5"/>
  <c r="K17" i="5"/>
  <c r="D14" i="6"/>
  <c r="J17" i="9"/>
  <c r="T14" i="6"/>
  <c r="K17" i="9"/>
  <c r="I2" i="11"/>
  <c r="G8" i="12"/>
  <c r="D8" i="12"/>
  <c r="W8" i="12"/>
  <c r="U8" i="12"/>
  <c r="Y8" i="12"/>
  <c r="X8" i="12"/>
  <c r="V8" i="12"/>
  <c r="S8" i="12"/>
  <c r="R8" i="12"/>
  <c r="H8" i="12"/>
  <c r="Q8" i="12"/>
  <c r="J8" i="12"/>
  <c r="P8" i="12"/>
  <c r="M8" i="12"/>
  <c r="I8" i="12"/>
  <c r="F8" i="12"/>
  <c r="C8" i="12"/>
  <c r="AA8" i="12"/>
  <c r="Z8" i="12"/>
  <c r="C3" i="14"/>
  <c r="Z3" i="12"/>
  <c r="J3" i="12"/>
  <c r="G3" i="12"/>
  <c r="T3" i="12"/>
  <c r="AA3" i="12"/>
  <c r="Y3" i="12"/>
  <c r="U3" i="12"/>
  <c r="P3" i="12"/>
  <c r="N3" i="12"/>
  <c r="Z17" i="7"/>
  <c r="O17" i="5"/>
  <c r="W17" i="5"/>
  <c r="V17" i="5"/>
  <c r="Y17" i="5"/>
  <c r="X17" i="5"/>
  <c r="U17" i="5"/>
  <c r="T17" i="5"/>
  <c r="S17" i="5"/>
  <c r="D17" i="5"/>
  <c r="Q17" i="5"/>
  <c r="X14" i="6"/>
  <c r="N12" i="7"/>
  <c r="V12" i="7"/>
  <c r="T12" i="7"/>
  <c r="J12" i="7"/>
  <c r="L12" i="7"/>
  <c r="H12" i="7"/>
  <c r="S12" i="7"/>
  <c r="R12" i="7"/>
  <c r="K12" i="7"/>
  <c r="P12" i="7"/>
  <c r="M12" i="7"/>
  <c r="O12" i="7"/>
  <c r="F12" i="7"/>
  <c r="W12" i="7"/>
  <c r="G12" i="7"/>
  <c r="N2" i="11"/>
  <c r="F3" i="14"/>
  <c r="C17" i="7"/>
  <c r="H7" i="17"/>
  <c r="AA17" i="7"/>
  <c r="AA3" i="8"/>
  <c r="W2" i="10"/>
  <c r="V2" i="10"/>
  <c r="U2" i="10"/>
  <c r="P2" i="10"/>
  <c r="N2" i="10"/>
  <c r="M2" i="10"/>
  <c r="L2" i="10"/>
  <c r="F2" i="10"/>
  <c r="K2" i="10"/>
  <c r="J2" i="10"/>
  <c r="G2" i="10"/>
  <c r="H2" i="10"/>
  <c r="E2" i="10"/>
  <c r="D2" i="10"/>
  <c r="C2" i="10"/>
  <c r="Y2" i="10"/>
  <c r="X2" i="10"/>
  <c r="Z2" i="10"/>
  <c r="Z17" i="9"/>
  <c r="R17" i="9"/>
  <c r="AA17" i="9"/>
  <c r="X17" i="9"/>
  <c r="W17" i="9"/>
  <c r="U17" i="9"/>
  <c r="T17" i="9"/>
  <c r="S17" i="9"/>
  <c r="Q17" i="9"/>
  <c r="P17" i="9"/>
  <c r="O17" i="9"/>
  <c r="R17" i="5"/>
  <c r="Y14" i="6"/>
  <c r="G3" i="14"/>
  <c r="P7" i="17"/>
  <c r="M3" i="12"/>
  <c r="D7" i="5"/>
  <c r="Z7" i="5"/>
  <c r="AB7" i="5"/>
  <c r="X7" i="5"/>
  <c r="Y7" i="5"/>
  <c r="AA7" i="5"/>
  <c r="V7" i="5"/>
  <c r="X3" i="7"/>
  <c r="U3" i="7"/>
  <c r="Z3" i="7"/>
  <c r="V3" i="7"/>
  <c r="M3" i="7"/>
  <c r="T3" i="7"/>
  <c r="S3" i="7"/>
  <c r="L3" i="7"/>
  <c r="P3" i="7"/>
  <c r="O3" i="7"/>
  <c r="N3" i="7"/>
  <c r="K3" i="7"/>
  <c r="J3" i="7"/>
  <c r="G3" i="7"/>
  <c r="AB3" i="7"/>
  <c r="H3" i="7"/>
  <c r="I3" i="14"/>
  <c r="O3" i="19"/>
  <c r="I3" i="19"/>
  <c r="H3" i="19"/>
  <c r="G3" i="19"/>
  <c r="E3" i="19"/>
  <c r="D3" i="19"/>
  <c r="AB3" i="19"/>
  <c r="C3" i="19"/>
  <c r="Z3" i="19"/>
  <c r="Y3" i="19"/>
  <c r="W3" i="19"/>
  <c r="V3" i="19"/>
  <c r="U3" i="19"/>
  <c r="T3" i="19"/>
  <c r="S3" i="19"/>
  <c r="R3" i="19"/>
  <c r="P3" i="19"/>
  <c r="N3" i="19"/>
  <c r="M3" i="19"/>
  <c r="K3" i="19"/>
  <c r="AA3" i="19"/>
  <c r="U7" i="17"/>
  <c r="K3" i="14"/>
  <c r="AB13" i="14"/>
  <c r="S13" i="14"/>
  <c r="K13" i="14"/>
  <c r="G13" i="14"/>
  <c r="X13" i="14"/>
  <c r="R13" i="14"/>
  <c r="J3" i="8"/>
  <c r="E3" i="8"/>
  <c r="S3" i="8"/>
  <c r="R3" i="8"/>
  <c r="K3" i="8"/>
  <c r="Q3" i="8"/>
  <c r="G3" i="8"/>
  <c r="P3" i="8"/>
  <c r="O3" i="8"/>
  <c r="M3" i="8"/>
  <c r="H3" i="8"/>
  <c r="N3" i="8"/>
  <c r="L3" i="8"/>
  <c r="I3" i="8"/>
  <c r="D3" i="8"/>
  <c r="V3" i="8"/>
  <c r="AB8" i="6"/>
  <c r="H8" i="6"/>
  <c r="D8" i="6"/>
  <c r="G8" i="6"/>
  <c r="E8" i="6"/>
  <c r="U8" i="6"/>
  <c r="I8" i="6"/>
  <c r="J8" i="6"/>
  <c r="C8" i="6"/>
  <c r="W3" i="5"/>
  <c r="V3" i="5"/>
  <c r="U3" i="5"/>
  <c r="T3" i="5"/>
  <c r="N7" i="5"/>
  <c r="X15" i="6"/>
  <c r="S15" i="6"/>
  <c r="Q15" i="6"/>
  <c r="P15" i="6"/>
  <c r="J15" i="6"/>
  <c r="H15" i="6"/>
  <c r="G15" i="6"/>
  <c r="O15" i="6"/>
  <c r="N15" i="6"/>
  <c r="I15" i="6"/>
  <c r="F15" i="6"/>
  <c r="M15" i="6"/>
  <c r="L15" i="6"/>
  <c r="K15" i="6"/>
  <c r="E15" i="6"/>
  <c r="R15" i="6"/>
  <c r="M3" i="14"/>
  <c r="E13" i="14"/>
  <c r="Z3" i="18"/>
  <c r="D3" i="18"/>
  <c r="Y3" i="18"/>
  <c r="W3" i="18"/>
  <c r="S3" i="18"/>
  <c r="R3" i="18"/>
  <c r="Q3" i="18"/>
  <c r="M3" i="18"/>
  <c r="K3" i="18"/>
  <c r="V3" i="18"/>
  <c r="P3" i="18"/>
  <c r="N3" i="18"/>
  <c r="J3" i="18"/>
  <c r="I3" i="18"/>
  <c r="H3" i="18"/>
  <c r="E3" i="18"/>
  <c r="M17" i="6"/>
  <c r="P8" i="7"/>
  <c r="Z14" i="7"/>
  <c r="U14" i="7"/>
  <c r="K13" i="8"/>
  <c r="I14" i="8"/>
  <c r="Q7" i="9"/>
  <c r="S12" i="9"/>
  <c r="K14" i="10"/>
  <c r="AB8" i="11"/>
  <c r="E8" i="11"/>
  <c r="S8" i="11"/>
  <c r="S14" i="11"/>
  <c r="AA14" i="11"/>
  <c r="W14" i="11"/>
  <c r="K14" i="11"/>
  <c r="W15" i="11"/>
  <c r="K15" i="12"/>
  <c r="U14" i="13"/>
  <c r="H14" i="13"/>
  <c r="E14" i="13"/>
  <c r="AA14" i="13"/>
  <c r="T14" i="13"/>
  <c r="R14" i="13"/>
  <c r="Z2" i="14"/>
  <c r="L15" i="14"/>
  <c r="J2" i="15"/>
  <c r="H7" i="15"/>
  <c r="R8" i="15"/>
  <c r="K2" i="16"/>
  <c r="G6" i="17"/>
  <c r="AB2" i="14"/>
  <c r="Z7" i="14"/>
  <c r="AB7" i="14"/>
  <c r="X7" i="14"/>
  <c r="R7" i="14"/>
  <c r="P7" i="14"/>
  <c r="L7" i="14"/>
  <c r="J7" i="14"/>
  <c r="Y8" i="15"/>
  <c r="Z7" i="16"/>
  <c r="AB7" i="16"/>
  <c r="X7" i="16"/>
  <c r="U7" i="16"/>
  <c r="S7" i="16"/>
  <c r="R7" i="16"/>
  <c r="P7" i="16"/>
  <c r="L7" i="16"/>
  <c r="J7" i="16"/>
  <c r="I7" i="16"/>
  <c r="F7" i="16"/>
  <c r="W2" i="18"/>
  <c r="Z2" i="18"/>
  <c r="X2" i="18"/>
  <c r="U2" i="18"/>
  <c r="S2" i="18"/>
  <c r="R2" i="18"/>
  <c r="P2" i="18"/>
  <c r="N2" i="18"/>
  <c r="M2" i="18"/>
  <c r="L2" i="18"/>
  <c r="G2" i="18"/>
  <c r="F2" i="18"/>
  <c r="AB6" i="18"/>
  <c r="X6" i="18"/>
  <c r="W6" i="18"/>
  <c r="Q6" i="18"/>
  <c r="P6" i="18"/>
  <c r="K6" i="18"/>
  <c r="J6" i="18"/>
  <c r="I6" i="18"/>
  <c r="C15" i="18"/>
  <c r="AB15" i="18"/>
  <c r="AA15" i="18"/>
  <c r="Z15" i="18"/>
  <c r="Y15" i="18"/>
  <c r="X15" i="18"/>
  <c r="W15" i="18"/>
  <c r="S15" i="18"/>
  <c r="M15" i="18"/>
  <c r="K15" i="18"/>
  <c r="J15" i="18"/>
  <c r="E15" i="18"/>
  <c r="G7" i="7"/>
  <c r="L7" i="7"/>
  <c r="AB7" i="7"/>
  <c r="AA8" i="7"/>
  <c r="O2" i="8"/>
  <c r="D2" i="8"/>
  <c r="W8" i="9"/>
  <c r="X8" i="9"/>
  <c r="Q8" i="11"/>
  <c r="U6" i="14"/>
  <c r="Z6" i="14"/>
  <c r="W6" i="14"/>
  <c r="Q6" i="14"/>
  <c r="P6" i="14"/>
  <c r="L6" i="14"/>
  <c r="J6" i="14"/>
  <c r="M7" i="14"/>
  <c r="T7" i="16"/>
  <c r="E6" i="18"/>
  <c r="D15" i="18"/>
  <c r="N7" i="14"/>
  <c r="V7" i="16"/>
  <c r="O6" i="18"/>
  <c r="Q15" i="18"/>
  <c r="O14" i="5"/>
  <c r="C8" i="7"/>
  <c r="C3" i="9"/>
  <c r="V14" i="5"/>
  <c r="D8" i="7"/>
  <c r="AA7" i="19"/>
  <c r="U7" i="19"/>
  <c r="R7" i="19"/>
  <c r="M7" i="19"/>
  <c r="L7" i="19"/>
  <c r="H7" i="19"/>
  <c r="G7" i="19"/>
  <c r="F7" i="19"/>
  <c r="C7" i="19"/>
  <c r="Q2" i="14"/>
  <c r="G2" i="14"/>
  <c r="E2" i="14"/>
  <c r="AA2" i="14"/>
  <c r="Y2" i="14"/>
  <c r="E6" i="8"/>
  <c r="I2" i="8"/>
  <c r="AB13" i="8"/>
  <c r="K3" i="9"/>
  <c r="I8" i="9"/>
  <c r="X14" i="10"/>
  <c r="U14" i="10"/>
  <c r="H14" i="10"/>
  <c r="AA14" i="10"/>
  <c r="R14" i="11"/>
  <c r="L2" i="14"/>
  <c r="K6" i="14"/>
  <c r="W7" i="14"/>
  <c r="D8" i="15"/>
  <c r="N14" i="15"/>
  <c r="M14" i="15"/>
  <c r="F14" i="16"/>
  <c r="AB17" i="17"/>
  <c r="Z17" i="17"/>
  <c r="X17" i="17"/>
  <c r="W17" i="17"/>
  <c r="U17" i="17"/>
  <c r="R17" i="17"/>
  <c r="O17" i="17"/>
  <c r="M17" i="17"/>
  <c r="L17" i="17"/>
  <c r="Y7" i="9"/>
  <c r="V7" i="9"/>
  <c r="C7" i="9"/>
  <c r="Z14" i="5"/>
  <c r="G13" i="6"/>
  <c r="D17" i="6"/>
  <c r="V7" i="12"/>
  <c r="P7" i="12"/>
  <c r="X15" i="12"/>
  <c r="P15" i="12"/>
  <c r="N15" i="12"/>
  <c r="E15" i="12"/>
  <c r="AA15" i="12"/>
  <c r="C15" i="12"/>
  <c r="M2" i="14"/>
  <c r="Y7" i="14"/>
  <c r="X15" i="14"/>
  <c r="T15" i="14"/>
  <c r="R15" i="14"/>
  <c r="N15" i="14"/>
  <c r="M15" i="14"/>
  <c r="I15" i="14"/>
  <c r="H15" i="14"/>
  <c r="G15" i="14"/>
  <c r="F8" i="15"/>
  <c r="D14" i="15"/>
  <c r="Z6" i="16"/>
  <c r="V6" i="16"/>
  <c r="S6" i="16"/>
  <c r="O6" i="16"/>
  <c r="M6" i="16"/>
  <c r="L6" i="16"/>
  <c r="K6" i="16"/>
  <c r="H6" i="16"/>
  <c r="G6" i="16"/>
  <c r="F6" i="16"/>
  <c r="E17" i="17"/>
  <c r="E8" i="7"/>
  <c r="G3" i="9"/>
  <c r="D7" i="9"/>
  <c r="Y14" i="5"/>
  <c r="C17" i="6"/>
  <c r="H7" i="7"/>
  <c r="F8" i="7"/>
  <c r="V14" i="7"/>
  <c r="X14" i="8"/>
  <c r="P14" i="8"/>
  <c r="AA14" i="5"/>
  <c r="V15" i="5"/>
  <c r="H13" i="6"/>
  <c r="Y2" i="7"/>
  <c r="L2" i="7"/>
  <c r="J7" i="7"/>
  <c r="H8" i="7"/>
  <c r="Y14" i="7"/>
  <c r="V15" i="7"/>
  <c r="L2" i="8"/>
  <c r="P6" i="8"/>
  <c r="E13" i="8"/>
  <c r="C14" i="8"/>
  <c r="AA14" i="8"/>
  <c r="S3" i="9"/>
  <c r="I7" i="9"/>
  <c r="L8" i="9"/>
  <c r="C12" i="9"/>
  <c r="W14" i="9"/>
  <c r="D14" i="10"/>
  <c r="X15" i="10"/>
  <c r="R15" i="10"/>
  <c r="D15" i="10"/>
  <c r="E12" i="11"/>
  <c r="U14" i="11"/>
  <c r="D7" i="12"/>
  <c r="D15" i="12"/>
  <c r="O2" i="14"/>
  <c r="N6" i="14"/>
  <c r="C15" i="14"/>
  <c r="H8" i="15"/>
  <c r="E14" i="15"/>
  <c r="E6" i="16"/>
  <c r="Q17" i="17"/>
  <c r="F3" i="9"/>
  <c r="N17" i="6"/>
  <c r="L17" i="6"/>
  <c r="AB14" i="16"/>
  <c r="Y14" i="16"/>
  <c r="J14" i="16"/>
  <c r="C14" i="16"/>
  <c r="AA6" i="7"/>
  <c r="K6" i="7"/>
  <c r="I7" i="7"/>
  <c r="G8" i="7"/>
  <c r="X14" i="7"/>
  <c r="K2" i="8"/>
  <c r="O6" i="8"/>
  <c r="C13" i="8"/>
  <c r="Z14" i="8"/>
  <c r="O3" i="9"/>
  <c r="G7" i="9"/>
  <c r="AB14" i="5"/>
  <c r="W15" i="5"/>
  <c r="F17" i="6"/>
  <c r="H6" i="7"/>
  <c r="K7" i="7"/>
  <c r="J8" i="7"/>
  <c r="AA14" i="7"/>
  <c r="M2" i="8"/>
  <c r="F13" i="8"/>
  <c r="D14" i="8"/>
  <c r="AB14" i="8"/>
  <c r="Y3" i="9"/>
  <c r="J7" i="9"/>
  <c r="M8" i="9"/>
  <c r="D12" i="9"/>
  <c r="E14" i="10"/>
  <c r="F12" i="11"/>
  <c r="V14" i="11"/>
  <c r="E7" i="12"/>
  <c r="F15" i="12"/>
  <c r="P2" i="14"/>
  <c r="O6" i="14"/>
  <c r="D15" i="14"/>
  <c r="X2" i="15"/>
  <c r="K2" i="15"/>
  <c r="I2" i="15"/>
  <c r="E2" i="15"/>
  <c r="D2" i="15"/>
  <c r="Y2" i="15"/>
  <c r="V2" i="15"/>
  <c r="U2" i="15"/>
  <c r="J8" i="15"/>
  <c r="O14" i="15"/>
  <c r="I6" i="16"/>
  <c r="Y17" i="17"/>
  <c r="W14" i="5"/>
  <c r="AB17" i="6"/>
  <c r="F7" i="7"/>
  <c r="C8" i="15"/>
  <c r="Y15" i="5"/>
  <c r="I6" i="7"/>
  <c r="K8" i="7"/>
  <c r="AB14" i="7"/>
  <c r="N2" i="8"/>
  <c r="G13" i="8"/>
  <c r="E14" i="8"/>
  <c r="Z15" i="8"/>
  <c r="N15" i="8"/>
  <c r="Z3" i="9"/>
  <c r="L7" i="9"/>
  <c r="N8" i="9"/>
  <c r="E12" i="9"/>
  <c r="X14" i="9"/>
  <c r="H14" i="9"/>
  <c r="Z14" i="9"/>
  <c r="F14" i="10"/>
  <c r="G12" i="11"/>
  <c r="X14" i="11"/>
  <c r="F7" i="12"/>
  <c r="G15" i="12"/>
  <c r="R2" i="14"/>
  <c r="R6" i="14"/>
  <c r="E15" i="14"/>
  <c r="X7" i="15"/>
  <c r="K7" i="15"/>
  <c r="I7" i="15"/>
  <c r="AB7" i="15"/>
  <c r="E7" i="15"/>
  <c r="AA7" i="15"/>
  <c r="D7" i="15"/>
  <c r="V7" i="15"/>
  <c r="U7" i="15"/>
  <c r="T7" i="15"/>
  <c r="Q7" i="15"/>
  <c r="K8" i="15"/>
  <c r="AB14" i="15"/>
  <c r="J6" i="16"/>
  <c r="AA17" i="17"/>
  <c r="AB13" i="6"/>
  <c r="S13" i="6"/>
  <c r="K13" i="6"/>
  <c r="G17" i="6"/>
  <c r="M7" i="7"/>
  <c r="C15" i="5"/>
  <c r="Z15" i="5"/>
  <c r="E6" i="6"/>
  <c r="M13" i="6"/>
  <c r="H17" i="6"/>
  <c r="N6" i="7"/>
  <c r="N7" i="7"/>
  <c r="X15" i="7"/>
  <c r="R15" i="7"/>
  <c r="Z15" i="7"/>
  <c r="P2" i="8"/>
  <c r="J7" i="8"/>
  <c r="C12" i="8"/>
  <c r="H13" i="8"/>
  <c r="F14" i="8"/>
  <c r="E15" i="8"/>
  <c r="AA3" i="9"/>
  <c r="M7" i="9"/>
  <c r="O8" i="9"/>
  <c r="H12" i="9"/>
  <c r="C14" i="9"/>
  <c r="AA14" i="9"/>
  <c r="G14" i="10"/>
  <c r="AB14" i="11"/>
  <c r="G7" i="12"/>
  <c r="H15" i="12"/>
  <c r="U2" i="14"/>
  <c r="S6" i="14"/>
  <c r="F15" i="14"/>
  <c r="G15" i="15"/>
  <c r="C15" i="15"/>
  <c r="AA15" i="15"/>
  <c r="V15" i="15"/>
  <c r="N6" i="16"/>
  <c r="X8" i="7"/>
  <c r="I8" i="7"/>
  <c r="AB8" i="7"/>
  <c r="G8" i="15"/>
  <c r="E8" i="15"/>
  <c r="AB8" i="15"/>
  <c r="X8" i="15"/>
  <c r="W8" i="15"/>
  <c r="T8" i="15"/>
  <c r="N8" i="15"/>
  <c r="F6" i="8"/>
  <c r="U15" i="5"/>
  <c r="D13" i="5"/>
  <c r="D15" i="5"/>
  <c r="AA15" i="5"/>
  <c r="I6" i="6"/>
  <c r="J17" i="6"/>
  <c r="D12" i="8"/>
  <c r="I13" i="8"/>
  <c r="G14" i="8"/>
  <c r="I14" i="10"/>
  <c r="I7" i="12"/>
  <c r="V2" i="14"/>
  <c r="M8" i="15"/>
  <c r="AB2" i="16"/>
  <c r="X2" i="16"/>
  <c r="W2" i="16"/>
  <c r="U2" i="16"/>
  <c r="P2" i="16"/>
  <c r="Q6" i="16"/>
  <c r="C6" i="17"/>
  <c r="AA6" i="18"/>
  <c r="N13" i="6"/>
  <c r="O6" i="7"/>
  <c r="O7" i="7"/>
  <c r="M8" i="7"/>
  <c r="Q2" i="8"/>
  <c r="N7" i="9"/>
  <c r="P8" i="9"/>
  <c r="J12" i="9"/>
  <c r="K6" i="5"/>
  <c r="F13" i="5"/>
  <c r="E15" i="5"/>
  <c r="AB15" i="5"/>
  <c r="J6" i="6"/>
  <c r="X12" i="6"/>
  <c r="N12" i="6"/>
  <c r="O13" i="6"/>
  <c r="K17" i="6"/>
  <c r="M2" i="7"/>
  <c r="P6" i="7"/>
  <c r="P7" i="7"/>
  <c r="N8" i="7"/>
  <c r="D15" i="7"/>
  <c r="AB15" i="7"/>
  <c r="R2" i="8"/>
  <c r="E12" i="8"/>
  <c r="J13" i="8"/>
  <c r="H14" i="8"/>
  <c r="G15" i="8"/>
  <c r="P7" i="9"/>
  <c r="Q8" i="9"/>
  <c r="O12" i="9"/>
  <c r="E14" i="9"/>
  <c r="AA15" i="9"/>
  <c r="M15" i="9"/>
  <c r="J14" i="10"/>
  <c r="H15" i="10"/>
  <c r="Q7" i="11"/>
  <c r="H7" i="11"/>
  <c r="R7" i="11"/>
  <c r="AB7" i="11"/>
  <c r="K12" i="11"/>
  <c r="J7" i="12"/>
  <c r="J15" i="12"/>
  <c r="O17" i="12"/>
  <c r="AB6" i="13"/>
  <c r="AA6" i="13"/>
  <c r="P6" i="13"/>
  <c r="AB12" i="13"/>
  <c r="X12" i="13"/>
  <c r="V12" i="13"/>
  <c r="R12" i="13"/>
  <c r="O12" i="13"/>
  <c r="I12" i="13"/>
  <c r="D12" i="13"/>
  <c r="X2" i="14"/>
  <c r="X6" i="14"/>
  <c r="K15" i="14"/>
  <c r="H2" i="15"/>
  <c r="G7" i="15"/>
  <c r="O8" i="15"/>
  <c r="I15" i="15"/>
  <c r="D2" i="16"/>
  <c r="T6" i="16"/>
  <c r="J17" i="16"/>
  <c r="G17" i="16"/>
  <c r="C17" i="16"/>
  <c r="AB17" i="16"/>
  <c r="E6" i="17"/>
  <c r="AB8" i="18"/>
  <c r="Y12" i="18"/>
  <c r="H2" i="19"/>
  <c r="N6" i="19"/>
  <c r="M8" i="19"/>
  <c r="C12" i="19"/>
  <c r="K13" i="19"/>
  <c r="T14" i="19"/>
  <c r="Q12" i="17"/>
  <c r="C8" i="18"/>
  <c r="Z12" i="18"/>
  <c r="M2" i="19"/>
  <c r="O6" i="19"/>
  <c r="N8" i="19"/>
  <c r="E12" i="19"/>
  <c r="L13" i="19"/>
  <c r="U14" i="19"/>
  <c r="C8" i="17"/>
  <c r="D8" i="18"/>
  <c r="N2" i="19"/>
  <c r="R6" i="19"/>
  <c r="O8" i="19"/>
  <c r="F12" i="19"/>
  <c r="M13" i="19"/>
  <c r="V14" i="19"/>
  <c r="O2" i="19"/>
  <c r="W6" i="19"/>
  <c r="P8" i="19"/>
  <c r="G12" i="19"/>
  <c r="O13" i="19"/>
  <c r="AB14" i="19"/>
  <c r="O6" i="11"/>
  <c r="N2" i="13"/>
  <c r="P3" i="13"/>
  <c r="Q15" i="13"/>
  <c r="X3" i="15"/>
  <c r="Z12" i="15"/>
  <c r="Z13" i="15"/>
  <c r="H8" i="17"/>
  <c r="U12" i="17"/>
  <c r="H15" i="17"/>
  <c r="G8" i="18"/>
  <c r="H13" i="18"/>
  <c r="R2" i="19"/>
  <c r="R8" i="19"/>
  <c r="I12" i="19"/>
  <c r="Q13" i="19"/>
  <c r="C15" i="19"/>
  <c r="Y3" i="15"/>
  <c r="AA12" i="15"/>
  <c r="AA13" i="15"/>
  <c r="J8" i="17"/>
  <c r="V12" i="17"/>
  <c r="I15" i="17"/>
  <c r="J8" i="18"/>
  <c r="P13" i="18"/>
  <c r="S2" i="19"/>
  <c r="S8" i="19"/>
  <c r="J12" i="19"/>
  <c r="T13" i="19"/>
  <c r="E15" i="19"/>
  <c r="S15" i="13"/>
  <c r="Z3" i="15"/>
  <c r="AB13" i="15"/>
  <c r="N8" i="17"/>
  <c r="W12" i="17"/>
  <c r="N15" i="17"/>
  <c r="K8" i="18"/>
  <c r="U2" i="19"/>
  <c r="T8" i="19"/>
  <c r="L12" i="19"/>
  <c r="V13" i="19"/>
  <c r="F15" i="19"/>
  <c r="V2" i="19"/>
  <c r="V8" i="19"/>
  <c r="P12" i="19"/>
  <c r="W13" i="19"/>
  <c r="G15" i="19"/>
  <c r="N8" i="18"/>
  <c r="H14" i="18"/>
  <c r="W2" i="19"/>
  <c r="W8" i="19"/>
  <c r="Q12" i="19"/>
  <c r="Y13" i="19"/>
  <c r="J15" i="19"/>
  <c r="Q8" i="17"/>
  <c r="AB12" i="17"/>
  <c r="O8" i="18"/>
  <c r="L14" i="18"/>
  <c r="X2" i="19"/>
  <c r="Y8" i="19"/>
  <c r="R12" i="19"/>
  <c r="Z13" i="19"/>
  <c r="L15" i="19"/>
  <c r="C17" i="19"/>
  <c r="C3" i="16"/>
  <c r="R8" i="17"/>
  <c r="P8" i="18"/>
  <c r="Q14" i="18"/>
  <c r="Z2" i="19"/>
  <c r="Z8" i="19"/>
  <c r="T12" i="19"/>
  <c r="AA13" i="19"/>
  <c r="M15" i="19"/>
  <c r="E17" i="19"/>
  <c r="Z15" i="13"/>
  <c r="C3" i="15"/>
  <c r="O3" i="16"/>
  <c r="C12" i="16"/>
  <c r="S8" i="17"/>
  <c r="Q8" i="18"/>
  <c r="R14" i="18"/>
  <c r="AB2" i="19"/>
  <c r="AA8" i="19"/>
  <c r="U12" i="19"/>
  <c r="O15" i="19"/>
  <c r="F17" i="19"/>
  <c r="AB8" i="19"/>
  <c r="V12" i="19"/>
  <c r="F14" i="19"/>
  <c r="P15" i="19"/>
  <c r="G17" i="19"/>
  <c r="S3" i="16"/>
  <c r="K12" i="16"/>
  <c r="U8" i="17"/>
  <c r="E12" i="17"/>
  <c r="N13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F15" i="13"/>
  <c r="G3" i="15"/>
  <c r="M12" i="15"/>
  <c r="W17" i="15"/>
  <c r="W3" i="16"/>
  <c r="X12" i="16"/>
  <c r="W8" i="17"/>
  <c r="C7" i="18"/>
  <c r="U8" i="18"/>
  <c r="Y14" i="18"/>
  <c r="E8" i="19"/>
  <c r="AB12" i="19"/>
  <c r="J14" i="19"/>
  <c r="Y15" i="19"/>
  <c r="Q17" i="19"/>
  <c r="K14" i="19"/>
  <c r="AA15" i="19"/>
  <c r="R17" i="19"/>
  <c r="D2" i="13"/>
  <c r="D3" i="13"/>
  <c r="H15" i="13"/>
  <c r="J3" i="15"/>
  <c r="O12" i="15"/>
  <c r="M13" i="15"/>
  <c r="AA8" i="17"/>
  <c r="I12" i="17"/>
  <c r="E6" i="19"/>
  <c r="G8" i="19"/>
  <c r="C13" i="19"/>
  <c r="L14" i="19"/>
  <c r="AB15" i="19"/>
  <c r="V17" i="19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<sst xmlns="http://schemas.openxmlformats.org/spreadsheetml/2006/main" count="3113" uniqueCount="587">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</sst>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160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TN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2.3933584350684656E-2</v>
      </c>
      <c r="C2" s="7">
        <f>$B2 * IFERROR(VLOOKUP("transport|PM25|Premature mortality", US_national_yearly!$D:$AM, 11, FALSE) / VLOOKUP("transport|PM25|Premature mortality", US_national_yearly!$D:$AM, 10, FALSE), 1)</f>
        <v>2.4230308346514906E-2</v>
      </c>
      <c r="D2" s="7">
        <f>$B2 * IFERROR(VLOOKUP("transport|PM25|Premature mortality", US_national_yearly!$D:$AM, 12, FALSE) / VLOOKUP("transport|PM25|Premature mortality", US_national_yearly!$D:$AM, 10, FALSE), 1)</f>
        <v>2.4527032342345149E-2</v>
      </c>
      <c r="E2" s="7">
        <f>$B2 * IFERROR(VLOOKUP("transport|PM25|Premature mortality", US_national_yearly!$D:$AM, 13, FALSE) / VLOOKUP("transport|PM25|Premature mortality", US_national_yearly!$D:$AM, 10, FALSE), 1)</f>
        <v>2.4823756338175396E-2</v>
      </c>
      <c r="F2" s="7">
        <f>$B2 * IFERROR(VLOOKUP("transport|PM25|Premature mortality", US_national_yearly!$D:$AM, 14, FALSE) / VLOOKUP("transport|PM25|Premature mortality", US_national_yearly!$D:$AM, 10, FALSE), 1)</f>
        <v>2.512048033400564E-2</v>
      </c>
      <c r="G2" s="7">
        <f>$B2 * IFERROR(VLOOKUP("transport|PM25|Premature mortality", US_national_yearly!$D:$AM, 15, FALSE) / VLOOKUP("transport|PM25|Premature mortality", US_national_yearly!$D:$AM, 10, FALSE), 1)</f>
        <v>2.5698348078045642E-2</v>
      </c>
      <c r="H2" s="7">
        <f>$B2 * IFERROR(VLOOKUP("transport|PM25|Premature mortality", US_national_yearly!$D:$AM, 16, FALSE) / VLOOKUP("transport|PM25|Premature mortality", US_national_yearly!$D:$AM, 10, FALSE), 1)</f>
        <v>2.6276215822085645E-2</v>
      </c>
      <c r="I2" s="7">
        <f>$B2 * IFERROR(VLOOKUP("transport|PM25|Premature mortality", US_national_yearly!$D:$AM, 17, FALSE) / VLOOKUP("transport|PM25|Premature mortality", US_national_yearly!$D:$AM, 10, FALSE), 1)</f>
        <v>2.6655783681792063E-2</v>
      </c>
      <c r="J2" s="7">
        <f>$B2 * IFERROR(VLOOKUP("transport|PM25|Premature mortality", US_national_yearly!$D:$AM, 18, FALSE) / VLOOKUP("transport|PM25|Premature mortality", US_national_yearly!$D:$AM, 10, FALSE), 1)</f>
        <v>2.7035351541498494E-2</v>
      </c>
      <c r="K2" s="7">
        <f>$B2 * IFERROR(VLOOKUP("transport|PM25|Premature mortality", US_national_yearly!$D:$AM, 19, FALSE) / VLOOKUP("transport|PM25|Premature mortality", US_national_yearly!$D:$AM, 10, FALSE), 1)</f>
        <v>2.7414919401204919E-2</v>
      </c>
      <c r="L2" s="7">
        <f>$B2 * IFERROR(VLOOKUP("transport|PM25|Premature mortality", US_national_yearly!$D:$AM, 20, FALSE) / VLOOKUP("transport|PM25|Premature mortality", US_national_yearly!$D:$AM, 10, FALSE), 1)</f>
        <v>2.7794487260911348E-2</v>
      </c>
      <c r="M2" s="7">
        <f>$B2 * IFERROR(VLOOKUP("transport|PM25|Premature mortality", US_national_yearly!$D:$AM, 21, FALSE) / VLOOKUP("transport|PM25|Premature mortality", US_national_yearly!$D:$AM, 10, FALSE), 1)</f>
        <v>2.8174055120617773E-2</v>
      </c>
      <c r="N2" s="7">
        <f>$B2 * IFERROR(VLOOKUP("transport|PM25|Premature mortality", US_national_yearly!$D:$AM, 22, FALSE) / VLOOKUP("transport|PM25|Premature mortality", US_national_yearly!$D:$AM, 10, FALSE), 1)</f>
        <v>2.8468765406447993E-2</v>
      </c>
      <c r="O2" s="7">
        <f>$B2 * IFERROR(VLOOKUP("transport|PM25|Premature mortality", US_national_yearly!$D:$AM, 23, FALSE) / VLOOKUP("transport|PM25|Premature mortality", US_national_yearly!$D:$AM, 10, FALSE), 1)</f>
        <v>2.8763475692278211E-2</v>
      </c>
      <c r="P2" s="7">
        <f>$B2 * IFERROR(VLOOKUP("transport|PM25|Premature mortality", US_national_yearly!$D:$AM, 24, FALSE) / VLOOKUP("transport|PM25|Premature mortality", US_national_yearly!$D:$AM, 10, FALSE), 1)</f>
        <v>2.9058185978108428E-2</v>
      </c>
      <c r="Q2" s="7">
        <f>$B2 * IFERROR(VLOOKUP("transport|PM25|Premature mortality", US_national_yearly!$D:$AM, 25, FALSE) / VLOOKUP("transport|PM25|Premature mortality", US_national_yearly!$D:$AM, 10, FALSE), 1)</f>
        <v>2.9352896263938645E-2</v>
      </c>
      <c r="R2" s="7">
        <f>$B2 * IFERROR(VLOOKUP("transport|PM25|Premature mortality", US_national_yearly!$D:$AM, 26, FALSE) / VLOOKUP("transport|PM25|Premature mortality", US_national_yearly!$D:$AM, 10, FALSE), 1)</f>
        <v>2.9647606549768869E-2</v>
      </c>
      <c r="S2" s="7">
        <f>$B2 * IFERROR(VLOOKUP("transport|PM25|Premature mortality", US_national_yearly!$D:$AM, 27, FALSE) / VLOOKUP("transport|PM25|Premature mortality", US_national_yearly!$D:$AM, 10, FALSE), 1)</f>
        <v>2.9803735303067281E-2</v>
      </c>
      <c r="T2" s="7">
        <f>$B2 * IFERROR(VLOOKUP("transport|PM25|Premature mortality", US_national_yearly!$D:$AM, 28, FALSE) / VLOOKUP("transport|PM25|Premature mortality", US_national_yearly!$D:$AM, 10, FALSE), 1)</f>
        <v>2.9959864056365686E-2</v>
      </c>
      <c r="U2" s="7">
        <f>$B2 * IFERROR(VLOOKUP("transport|PM25|Premature mortality", US_national_yearly!$D:$AM, 29, FALSE) / VLOOKUP("transport|PM25|Premature mortality", US_national_yearly!$D:$AM, 10, FALSE), 1)</f>
        <v>3.011599280966409E-2</v>
      </c>
      <c r="V2" s="7">
        <f>$B2 * IFERROR(VLOOKUP("transport|PM25|Premature mortality", US_national_yearly!$D:$AM, 30, FALSE) / VLOOKUP("transport|PM25|Premature mortality", US_national_yearly!$D:$AM, 10, FALSE), 1)</f>
        <v>3.0272121562962495E-2</v>
      </c>
      <c r="W2" s="7">
        <f>$B2 * IFERROR(VLOOKUP("transport|PM25|Premature mortality", US_national_yearly!$D:$AM, 31, FALSE) / VLOOKUP("transport|PM25|Premature mortality", US_national_yearly!$D:$AM, 10, FALSE), 1)</f>
        <v>3.04282503162609E-2</v>
      </c>
      <c r="X2" s="7">
        <f>$B2 * IFERROR(VLOOKUP("transport|PM25|Premature mortality", US_national_yearly!$D:$AM, 32, FALSE) / VLOOKUP("transport|PM25|Premature mortality", US_national_yearly!$D:$AM, 10, FALSE), 1)</f>
        <v>3.04555506365147E-2</v>
      </c>
      <c r="Y2" s="7">
        <f>$B2 * IFERROR(VLOOKUP("transport|PM25|Premature mortality", US_national_yearly!$D:$AM, 33, FALSE) / VLOOKUP("transport|PM25|Premature mortality", US_national_yearly!$D:$AM, 10, FALSE), 1)</f>
        <v>3.0482850956768504E-2</v>
      </c>
      <c r="Z2" s="7">
        <f>$B2 * IFERROR(VLOOKUP("transport|PM25|Premature mortality", US_national_yearly!$D:$AM, 34, FALSE) / VLOOKUP("transport|PM25|Premature mortality", US_national_yearly!$D:$AM, 10, FALSE), 1)</f>
        <v>3.05101512770223E-2</v>
      </c>
      <c r="AA2" s="7">
        <f>$B2 * IFERROR(VLOOKUP("transport|PM25|Premature mortality", US_national_yearly!$D:$AM, 35, FALSE) / VLOOKUP("transport|PM25|Premature mortality", US_national_yearly!$D:$AM, 10, FALSE), 1)</f>
        <v>3.0537451597276104E-2</v>
      </c>
      <c r="AB2" s="7">
        <f>$B2 * IFERROR(VLOOKUP("transport|PM25|Premature mortality", US_national_yearly!$D:$AM, 36, FALSE) / VLOOKUP("transport|PM25|Premature mortality", US_national_yearly!$D:$AM, 10, FALSE), 1)</f>
        <v>3.0564751917529904E-2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6.8444430972827694E-5</v>
      </c>
      <c r="C3" s="7">
        <f>$B3 * IFERROR(VLOOKUP("transport|PM25|Infant mortality", US_national_yearly!$D:$AM, 11, FALSE) / VLOOKUP("transport|PM25|Infant mortality", US_national_yearly!$D:$AM, 10, FALSE), 1)</f>
        <v>6.7847657990733069E-5</v>
      </c>
      <c r="D3" s="7">
        <f>$B3 * IFERROR(VLOOKUP("transport|PM25|Infant mortality", US_national_yearly!$D:$AM, 12, FALSE) / VLOOKUP("transport|PM25|Infant mortality", US_national_yearly!$D:$AM, 10, FALSE), 1)</f>
        <v>6.7250885008638444E-5</v>
      </c>
      <c r="E3" s="7">
        <f>$B3 * IFERROR(VLOOKUP("transport|PM25|Infant mortality", US_national_yearly!$D:$AM, 13, FALSE) / VLOOKUP("transport|PM25|Infant mortality", US_national_yearly!$D:$AM, 10, FALSE), 1)</f>
        <v>6.6654112026543833E-5</v>
      </c>
      <c r="F3" s="7">
        <f>$B3 * IFERROR(VLOOKUP("transport|PM25|Infant mortality", US_national_yearly!$D:$AM, 14, FALSE) / VLOOKUP("transport|PM25|Infant mortality", US_national_yearly!$D:$AM, 10, FALSE), 1)</f>
        <v>6.6057339044449194E-5</v>
      </c>
      <c r="G3" s="7">
        <f>$B3 * IFERROR(VLOOKUP("transport|PM25|Infant mortality", US_national_yearly!$D:$AM, 15, FALSE) / VLOOKUP("transport|PM25|Infant mortality", US_national_yearly!$D:$AM, 10, FALSE), 1)</f>
        <v>4.3931664000837905E-5</v>
      </c>
      <c r="H3" s="7">
        <f>$B3 * IFERROR(VLOOKUP("transport|PM25|Infant mortality", US_national_yearly!$D:$AM, 16, FALSE) / VLOOKUP("transport|PM25|Infant mortality", US_national_yearly!$D:$AM, 10, FALSE), 1)</f>
        <v>2.1805988957226595E-5</v>
      </c>
      <c r="I3" s="7">
        <f>$B3 * IFERROR(VLOOKUP("transport|PM25|Infant mortality", US_national_yearly!$D:$AM, 17, FALSE) / VLOOKUP("transport|PM25|Infant mortality", US_national_yearly!$D:$AM, 10, FALSE), 1)</f>
        <v>2.1663450799109656E-5</v>
      </c>
      <c r="J3" s="7">
        <f>$B3 * IFERROR(VLOOKUP("transport|PM25|Infant mortality", US_national_yearly!$D:$AM, 18, FALSE) / VLOOKUP("transport|PM25|Infant mortality", US_national_yearly!$D:$AM, 10, FALSE), 1)</f>
        <v>2.152091264099271E-5</v>
      </c>
      <c r="K3" s="7">
        <f>$B3 * IFERROR(VLOOKUP("transport|PM25|Infant mortality", US_national_yearly!$D:$AM, 19, FALSE) / VLOOKUP("transport|PM25|Infant mortality", US_national_yearly!$D:$AM, 10, FALSE), 1)</f>
        <v>2.1378374482875764E-5</v>
      </c>
      <c r="L3" s="7">
        <f>$B3 * IFERROR(VLOOKUP("transport|PM25|Infant mortality", US_national_yearly!$D:$AM, 20, FALSE) / VLOOKUP("transport|PM25|Infant mortality", US_national_yearly!$D:$AM, 10, FALSE), 1)</f>
        <v>2.1235836324758821E-5</v>
      </c>
      <c r="M3" s="7">
        <f>$B3 * IFERROR(VLOOKUP("transport|PM25|Infant mortality", US_national_yearly!$D:$AM, 21, FALSE) / VLOOKUP("transport|PM25|Infant mortality", US_national_yearly!$D:$AM, 10, FALSE), 1)</f>
        <v>2.1093298166641882E-5</v>
      </c>
      <c r="N3" s="7">
        <f>$B3 * IFERROR(VLOOKUP("transport|PM25|Infant mortality", US_national_yearly!$D:$AM, 22, FALSE) / VLOOKUP("transport|PM25|Infant mortality", US_national_yearly!$D:$AM, 10, FALSE), 1)</f>
        <v>2.100376842282914E-5</v>
      </c>
      <c r="O3" s="7">
        <f>$B3 * IFERROR(VLOOKUP("transport|PM25|Infant mortality", US_national_yearly!$D:$AM, 23, FALSE) / VLOOKUP("transport|PM25|Infant mortality", US_national_yearly!$D:$AM, 10, FALSE), 1)</f>
        <v>2.0914238679016404E-5</v>
      </c>
      <c r="P3" s="7">
        <f>$B3 * IFERROR(VLOOKUP("transport|PM25|Infant mortality", US_national_yearly!$D:$AM, 24, FALSE) / VLOOKUP("transport|PM25|Infant mortality", US_national_yearly!$D:$AM, 10, FALSE), 1)</f>
        <v>2.0824708935203659E-5</v>
      </c>
      <c r="Q3" s="7">
        <f>$B3 * IFERROR(VLOOKUP("transport|PM25|Infant mortality", US_national_yearly!$D:$AM, 25, FALSE) / VLOOKUP("transport|PM25|Infant mortality", US_national_yearly!$D:$AM, 10, FALSE), 1)</f>
        <v>2.0735179191390923E-5</v>
      </c>
      <c r="R3" s="7">
        <f>$B3 * IFERROR(VLOOKUP("transport|PM25|Infant mortality", US_national_yearly!$D:$AM, 26, FALSE) / VLOOKUP("transport|PM25|Infant mortality", US_national_yearly!$D:$AM, 10, FALSE), 1)</f>
        <v>2.0645649447578184E-5</v>
      </c>
      <c r="S3" s="7">
        <f>$B3 * IFERROR(VLOOKUP("transport|PM25|Infant mortality", US_national_yearly!$D:$AM, 27, FALSE) / VLOOKUP("transport|PM25|Infant mortality", US_national_yearly!$D:$AM, 10, FALSE), 1)</f>
        <v>2.0534048791336867E-5</v>
      </c>
      <c r="T3" s="7">
        <f>$B3 * IFERROR(VLOOKUP("transport|PM25|Infant mortality", US_national_yearly!$D:$AM, 28, FALSE) / VLOOKUP("transport|PM25|Infant mortality", US_national_yearly!$D:$AM, 10, FALSE), 1)</f>
        <v>2.0422448135095545E-5</v>
      </c>
      <c r="U3" s="7">
        <f>$B3 * IFERROR(VLOOKUP("transport|PM25|Infant mortality", US_national_yearly!$D:$AM, 29, FALSE) / VLOOKUP("transport|PM25|Infant mortality", US_national_yearly!$D:$AM, 10, FALSE), 1)</f>
        <v>2.0310847478854228E-5</v>
      </c>
      <c r="V3" s="7">
        <f>$B3 * IFERROR(VLOOKUP("transport|PM25|Infant mortality", US_national_yearly!$D:$AM, 30, FALSE) / VLOOKUP("transport|PM25|Infant mortality", US_national_yearly!$D:$AM, 10, FALSE), 1)</f>
        <v>2.019924682261291E-5</v>
      </c>
      <c r="W3" s="7">
        <f>$B3 * IFERROR(VLOOKUP("transport|PM25|Infant mortality", US_national_yearly!$D:$AM, 31, FALSE) / VLOOKUP("transport|PM25|Infant mortality", US_national_yearly!$D:$AM, 10, FALSE), 1)</f>
        <v>2.0087646166371589E-5</v>
      </c>
      <c r="X3" s="7">
        <f>$B3 * IFERROR(VLOOKUP("transport|PM25|Infant mortality", US_national_yearly!$D:$AM, 32, FALSE) / VLOOKUP("transport|PM25|Infant mortality", US_national_yearly!$D:$AM, 10, FALSE), 1)</f>
        <v>1.9967326632212533E-5</v>
      </c>
      <c r="Y3" s="7">
        <f>$B3 * IFERROR(VLOOKUP("transport|PM25|Infant mortality", US_national_yearly!$D:$AM, 33, FALSE) / VLOOKUP("transport|PM25|Infant mortality", US_national_yearly!$D:$AM, 10, FALSE), 1)</f>
        <v>1.984700709805347E-5</v>
      </c>
      <c r="Z3" s="7">
        <f>$B3 * IFERROR(VLOOKUP("transport|PM25|Infant mortality", US_national_yearly!$D:$AM, 34, FALSE) / VLOOKUP("transport|PM25|Infant mortality", US_national_yearly!$D:$AM, 10, FALSE), 1)</f>
        <v>1.9726687563894414E-5</v>
      </c>
      <c r="AA3" s="7">
        <f>$B3 * IFERROR(VLOOKUP("transport|PM25|Infant mortality", US_national_yearly!$D:$AM, 35, FALSE) / VLOOKUP("transport|PM25|Infant mortality", US_national_yearly!$D:$AM, 10, FALSE), 1)</f>
        <v>1.9606368029735351E-5</v>
      </c>
      <c r="AB3" s="7">
        <f>$B3 * IFERROR(VLOOKUP("transport|PM25|Infant mortality", US_national_yearly!$D:$AM, 36, FALSE) / VLOOKUP("transport|PM25|Infant mortality", US_national_yearly!$D:$AM, 10, FALSE), 1)</f>
        <v>1.9486048495576295E-5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5.8669968064762053E-2</v>
      </c>
      <c r="C6" s="7">
        <f>$B6 * IFERROR(VLOOKUP("transport|PM25|Asthma symptoms cough", US_national_yearly!$D:$AM, 11, FALSE) / VLOOKUP("transport|PM25|Asthma symptoms cough", US_national_yearly!$D:$AM, 10, FALSE), 1)</f>
        <v>5.8669968064762053E-2</v>
      </c>
      <c r="D6" s="7">
        <f>$B6 * IFERROR(VLOOKUP("transport|PM25|Asthma symptoms cough", US_national_yearly!$D:$AM, 12, FALSE) / VLOOKUP("transport|PM25|Asthma symptoms cough", US_national_yearly!$D:$AM, 10, FALSE), 1)</f>
        <v>5.8669968064762053E-2</v>
      </c>
      <c r="E6" s="7">
        <f>$B6 * IFERROR(VLOOKUP("transport|PM25|Asthma symptoms cough", US_national_yearly!$D:$AM, 13, FALSE) / VLOOKUP("transport|PM25|Asthma symptoms cough", US_national_yearly!$D:$AM, 10, FALSE), 1)</f>
        <v>5.8669968064762053E-2</v>
      </c>
      <c r="F6" s="7">
        <f>$B6 * IFERROR(VLOOKUP("transport|PM25|Asthma symptoms cough", US_national_yearly!$D:$AM, 14, FALSE) / VLOOKUP("transport|PM25|Asthma symptoms cough", US_national_yearly!$D:$AM, 10, FALSE), 1)</f>
        <v>5.8669968064762053E-2</v>
      </c>
      <c r="G6" s="7">
        <f>$B6 * IFERROR(VLOOKUP("transport|PM25|Asthma symptoms cough", US_national_yearly!$D:$AM, 15, FALSE) / VLOOKUP("transport|PM25|Asthma symptoms cough", US_national_yearly!$D:$AM, 10, FALSE), 1)</f>
        <v>5.8669968064762053E-2</v>
      </c>
      <c r="H6" s="7">
        <f>$B6 * IFERROR(VLOOKUP("transport|PM25|Asthma symptoms cough", US_national_yearly!$D:$AM, 16, FALSE) / VLOOKUP("transport|PM25|Asthma symptoms cough", US_national_yearly!$D:$AM, 10, FALSE), 1)</f>
        <v>5.8669968064762053E-2</v>
      </c>
      <c r="I6" s="7">
        <f>$B6 * IFERROR(VLOOKUP("transport|PM25|Asthma symptoms cough", US_national_yearly!$D:$AM, 17, FALSE) / VLOOKUP("transport|PM25|Asthma symptoms cough", US_national_yearly!$D:$AM, 10, FALSE), 1)</f>
        <v>5.8669968064762053E-2</v>
      </c>
      <c r="J6" s="7">
        <f>$B6 * IFERROR(VLOOKUP("transport|PM25|Asthma symptoms cough", US_national_yearly!$D:$AM, 18, FALSE) / VLOOKUP("transport|PM25|Asthma symptoms cough", US_national_yearly!$D:$AM, 10, FALSE), 1)</f>
        <v>5.8669968064762053E-2</v>
      </c>
      <c r="K6" s="7">
        <f>$B6 * IFERROR(VLOOKUP("transport|PM25|Asthma symptoms cough", US_national_yearly!$D:$AM, 19, FALSE) / VLOOKUP("transport|PM25|Asthma symptoms cough", US_national_yearly!$D:$AM, 10, FALSE), 1)</f>
        <v>5.8669968064762053E-2</v>
      </c>
      <c r="L6" s="7">
        <f>$B6 * IFERROR(VLOOKUP("transport|PM25|Asthma symptoms cough", US_national_yearly!$D:$AM, 20, FALSE) / VLOOKUP("transport|PM25|Asthma symptoms cough", US_national_yearly!$D:$AM, 10, FALSE), 1)</f>
        <v>5.8669968064762053E-2</v>
      </c>
      <c r="M6" s="7">
        <f>$B6 * IFERROR(VLOOKUP("transport|PM25|Asthma symptoms cough", US_national_yearly!$D:$AM, 21, FALSE) / VLOOKUP("transport|PM25|Asthma symptoms cough", US_national_yearly!$D:$AM, 10, FALSE), 1)</f>
        <v>5.8669968064762053E-2</v>
      </c>
      <c r="N6" s="7">
        <f>$B6 * IFERROR(VLOOKUP("transport|PM25|Asthma symptoms cough", US_national_yearly!$D:$AM, 22, FALSE) / VLOOKUP("transport|PM25|Asthma symptoms cough", US_national_yearly!$D:$AM, 10, FALSE), 1)</f>
        <v>5.8669968064762053E-2</v>
      </c>
      <c r="O6" s="7">
        <f>$B6 * IFERROR(VLOOKUP("transport|PM25|Asthma symptoms cough", US_national_yearly!$D:$AM, 23, FALSE) / VLOOKUP("transport|PM25|Asthma symptoms cough", US_national_yearly!$D:$AM, 10, FALSE), 1)</f>
        <v>5.8669968064762053E-2</v>
      </c>
      <c r="P6" s="7">
        <f>$B6 * IFERROR(VLOOKUP("transport|PM25|Asthma symptoms cough", US_national_yearly!$D:$AM, 24, FALSE) / VLOOKUP("transport|PM25|Asthma symptoms cough", US_national_yearly!$D:$AM, 10, FALSE), 1)</f>
        <v>5.8669968064762053E-2</v>
      </c>
      <c r="Q6" s="7">
        <f>$B6 * IFERROR(VLOOKUP("transport|PM25|Asthma symptoms cough", US_national_yearly!$D:$AM, 25, FALSE) / VLOOKUP("transport|PM25|Asthma symptoms cough", US_national_yearly!$D:$AM, 10, FALSE), 1)</f>
        <v>5.8669968064762053E-2</v>
      </c>
      <c r="R6" s="7">
        <f>$B6 * IFERROR(VLOOKUP("transport|PM25|Asthma symptoms cough", US_national_yearly!$D:$AM, 26, FALSE) / VLOOKUP("transport|PM25|Asthma symptoms cough", US_national_yearly!$D:$AM, 10, FALSE), 1)</f>
        <v>5.8669968064762053E-2</v>
      </c>
      <c r="S6" s="7">
        <f>$B6 * IFERROR(VLOOKUP("transport|PM25|Asthma symptoms cough", US_national_yearly!$D:$AM, 27, FALSE) / VLOOKUP("transport|PM25|Asthma symptoms cough", US_national_yearly!$D:$AM, 10, FALSE), 1)</f>
        <v>5.8669968064762053E-2</v>
      </c>
      <c r="T6" s="7">
        <f>$B6 * IFERROR(VLOOKUP("transport|PM25|Asthma symptoms cough", US_national_yearly!$D:$AM, 28, FALSE) / VLOOKUP("transport|PM25|Asthma symptoms cough", US_national_yearly!$D:$AM, 10, FALSE), 1)</f>
        <v>5.8669968064762053E-2</v>
      </c>
      <c r="U6" s="7">
        <f>$B6 * IFERROR(VLOOKUP("transport|PM25|Asthma symptoms cough", US_national_yearly!$D:$AM, 29, FALSE) / VLOOKUP("transport|PM25|Asthma symptoms cough", US_national_yearly!$D:$AM, 10, FALSE), 1)</f>
        <v>5.8669968064762053E-2</v>
      </c>
      <c r="V6" s="7">
        <f>$B6 * IFERROR(VLOOKUP("transport|PM25|Asthma symptoms cough", US_national_yearly!$D:$AM, 30, FALSE) / VLOOKUP("transport|PM25|Asthma symptoms cough", US_national_yearly!$D:$AM, 10, FALSE), 1)</f>
        <v>5.8669968064762053E-2</v>
      </c>
      <c r="W6" s="7">
        <f>$B6 * IFERROR(VLOOKUP("transport|PM25|Asthma symptoms cough", US_national_yearly!$D:$AM, 31, FALSE) / VLOOKUP("transport|PM25|Asthma symptoms cough", US_national_yearly!$D:$AM, 10, FALSE), 1)</f>
        <v>5.8669968064762053E-2</v>
      </c>
      <c r="X6" s="7">
        <f>$B6 * IFERROR(VLOOKUP("transport|PM25|Asthma symptoms cough", US_national_yearly!$D:$AM, 32, FALSE) / VLOOKUP("transport|PM25|Asthma symptoms cough", US_national_yearly!$D:$AM, 10, FALSE), 1)</f>
        <v>5.8669968064762053E-2</v>
      </c>
      <c r="Y6" s="7">
        <f>$B6 * IFERROR(VLOOKUP("transport|PM25|Asthma symptoms cough", US_national_yearly!$D:$AM, 33, FALSE) / VLOOKUP("transport|PM25|Asthma symptoms cough", US_national_yearly!$D:$AM, 10, FALSE), 1)</f>
        <v>5.8669968064762053E-2</v>
      </c>
      <c r="Z6" s="7">
        <f>$B6 * IFERROR(VLOOKUP("transport|PM25|Asthma symptoms cough", US_national_yearly!$D:$AM, 34, FALSE) / VLOOKUP("transport|PM25|Asthma symptoms cough", US_national_yearly!$D:$AM, 10, FALSE), 1)</f>
        <v>5.8669968064762053E-2</v>
      </c>
      <c r="AA6" s="7">
        <f>$B6 * IFERROR(VLOOKUP("transport|PM25|Asthma symptoms cough", US_national_yearly!$D:$AM, 35, FALSE) / VLOOKUP("transport|PM25|Asthma symptoms cough", US_national_yearly!$D:$AM, 10, FALSE), 1)</f>
        <v>5.8669968064762053E-2</v>
      </c>
      <c r="AB6" s="7">
        <f>$B6 * IFERROR(VLOOKUP("transport|PM25|Asthma symptoms cough", US_national_yearly!$D:$AM, 36, FALSE) / VLOOKUP("transport|PM25|Asthma symptoms cough", US_national_yearly!$D:$AM, 10, FALSE), 1)</f>
        <v>5.8669968064762053E-2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7.9006199119478787E-2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7.9006199119478787E-2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7.9006199119478787E-2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7.9006199119478787E-2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7.9006199119478787E-2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7.9006199119478787E-2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7.9006199119478787E-2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7.9006199119478787E-2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7.9006199119478787E-2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7.9006199119478787E-2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7.9006199119478787E-2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7.9006199119478787E-2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7.9006199119478787E-2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7.9006199119478787E-2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7.9006199119478787E-2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7.9006199119478787E-2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7.9006199119478787E-2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7.9006199119478787E-2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7.9006199119478787E-2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7.9006199119478787E-2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7.9006199119478787E-2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7.9006199119478787E-2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7.9006199119478787E-2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7.9006199119478787E-2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7.9006199119478787E-2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7.9006199119478787E-2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7.9006199119478787E-2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0.12071316835582294</v>
      </c>
      <c r="C8" s="7">
        <f>$B8 * IFERROR(VLOOKUP("transport|PM25|Asthma symptoms wheeze", US_national_yearly!$D:$AM, 11, FALSE) / VLOOKUP("transport|PM25|Asthma symptoms wheeze", US_national_yearly!$D:$AM, 10, FALSE), 1)</f>
        <v>0.12071316835582294</v>
      </c>
      <c r="D8" s="7">
        <f>$B8 * IFERROR(VLOOKUP("transport|PM25|Asthma symptoms wheeze", US_national_yearly!$D:$AM, 12, FALSE) / VLOOKUP("transport|PM25|Asthma symptoms wheeze", US_national_yearly!$D:$AM, 10, FALSE), 1)</f>
        <v>0.12071316835582294</v>
      </c>
      <c r="E8" s="7">
        <f>$B8 * IFERROR(VLOOKUP("transport|PM25|Asthma symptoms wheeze", US_national_yearly!$D:$AM, 13, FALSE) / VLOOKUP("transport|PM25|Asthma symptoms wheeze", US_national_yearly!$D:$AM, 10, FALSE), 1)</f>
        <v>0.12071316835582294</v>
      </c>
      <c r="F8" s="7">
        <f>$B8 * IFERROR(VLOOKUP("transport|PM25|Asthma symptoms wheeze", US_national_yearly!$D:$AM, 14, FALSE) / VLOOKUP("transport|PM25|Asthma symptoms wheeze", US_national_yearly!$D:$AM, 10, FALSE), 1)</f>
        <v>0.12071316835582294</v>
      </c>
      <c r="G8" s="7">
        <f>$B8 * IFERROR(VLOOKUP("transport|PM25|Asthma symptoms wheeze", US_national_yearly!$D:$AM, 15, FALSE) / VLOOKUP("transport|PM25|Asthma symptoms wheeze", US_national_yearly!$D:$AM, 10, FALSE), 1)</f>
        <v>0.12071316835582294</v>
      </c>
      <c r="H8" s="7">
        <f>$B8 * IFERROR(VLOOKUP("transport|PM25|Asthma symptoms wheeze", US_national_yearly!$D:$AM, 16, FALSE) / VLOOKUP("transport|PM25|Asthma symptoms wheeze", US_national_yearly!$D:$AM, 10, FALSE), 1)</f>
        <v>0.12071316835582294</v>
      </c>
      <c r="I8" s="7">
        <f>$B8 * IFERROR(VLOOKUP("transport|PM25|Asthma symptoms wheeze", US_national_yearly!$D:$AM, 17, FALSE) / VLOOKUP("transport|PM25|Asthma symptoms wheeze", US_national_yearly!$D:$AM, 10, FALSE), 1)</f>
        <v>0.12071316835582294</v>
      </c>
      <c r="J8" s="7">
        <f>$B8 * IFERROR(VLOOKUP("transport|PM25|Asthma symptoms wheeze", US_national_yearly!$D:$AM, 18, FALSE) / VLOOKUP("transport|PM25|Asthma symptoms wheeze", US_national_yearly!$D:$AM, 10, FALSE), 1)</f>
        <v>0.12071316835582294</v>
      </c>
      <c r="K8" s="7">
        <f>$B8 * IFERROR(VLOOKUP("transport|PM25|Asthma symptoms wheeze", US_national_yearly!$D:$AM, 19, FALSE) / VLOOKUP("transport|PM25|Asthma symptoms wheeze", US_national_yearly!$D:$AM, 10, FALSE), 1)</f>
        <v>0.12071316835582294</v>
      </c>
      <c r="L8" s="7">
        <f>$B8 * IFERROR(VLOOKUP("transport|PM25|Asthma symptoms wheeze", US_national_yearly!$D:$AM, 20, FALSE) / VLOOKUP("transport|PM25|Asthma symptoms wheeze", US_national_yearly!$D:$AM, 10, FALSE), 1)</f>
        <v>0.12071316835582294</v>
      </c>
      <c r="M8" s="7">
        <f>$B8 * IFERROR(VLOOKUP("transport|PM25|Asthma symptoms wheeze", US_national_yearly!$D:$AM, 21, FALSE) / VLOOKUP("transport|PM25|Asthma symptoms wheeze", US_national_yearly!$D:$AM, 10, FALSE), 1)</f>
        <v>0.12071316835582294</v>
      </c>
      <c r="N8" s="7">
        <f>$B8 * IFERROR(VLOOKUP("transport|PM25|Asthma symptoms wheeze", US_national_yearly!$D:$AM, 22, FALSE) / VLOOKUP("transport|PM25|Asthma symptoms wheeze", US_national_yearly!$D:$AM, 10, FALSE), 1)</f>
        <v>0.12071316835582294</v>
      </c>
      <c r="O8" s="7">
        <f>$B8 * IFERROR(VLOOKUP("transport|PM25|Asthma symptoms wheeze", US_national_yearly!$D:$AM, 23, FALSE) / VLOOKUP("transport|PM25|Asthma symptoms wheeze", US_national_yearly!$D:$AM, 10, FALSE), 1)</f>
        <v>0.12071316835582294</v>
      </c>
      <c r="P8" s="7">
        <f>$B8 * IFERROR(VLOOKUP("transport|PM25|Asthma symptoms wheeze", US_national_yearly!$D:$AM, 24, FALSE) / VLOOKUP("transport|PM25|Asthma symptoms wheeze", US_national_yearly!$D:$AM, 10, FALSE), 1)</f>
        <v>0.12071316835582294</v>
      </c>
      <c r="Q8" s="7">
        <f>$B8 * IFERROR(VLOOKUP("transport|PM25|Asthma symptoms wheeze", US_national_yearly!$D:$AM, 25, FALSE) / VLOOKUP("transport|PM25|Asthma symptoms wheeze", US_national_yearly!$D:$AM, 10, FALSE), 1)</f>
        <v>0.12071316835582294</v>
      </c>
      <c r="R8" s="7">
        <f>$B8 * IFERROR(VLOOKUP("transport|PM25|Asthma symptoms wheeze", US_national_yearly!$D:$AM, 26, FALSE) / VLOOKUP("transport|PM25|Asthma symptoms wheeze", US_national_yearly!$D:$AM, 10, FALSE), 1)</f>
        <v>0.12071316835582294</v>
      </c>
      <c r="S8" s="7">
        <f>$B8 * IFERROR(VLOOKUP("transport|PM25|Asthma symptoms wheeze", US_national_yearly!$D:$AM, 27, FALSE) / VLOOKUP("transport|PM25|Asthma symptoms wheeze", US_national_yearly!$D:$AM, 10, FALSE), 1)</f>
        <v>0.12071316835582294</v>
      </c>
      <c r="T8" s="7">
        <f>$B8 * IFERROR(VLOOKUP("transport|PM25|Asthma symptoms wheeze", US_national_yearly!$D:$AM, 28, FALSE) / VLOOKUP("transport|PM25|Asthma symptoms wheeze", US_national_yearly!$D:$AM, 10, FALSE), 1)</f>
        <v>0.12071316835582294</v>
      </c>
      <c r="U8" s="7">
        <f>$B8 * IFERROR(VLOOKUP("transport|PM25|Asthma symptoms wheeze", US_national_yearly!$D:$AM, 29, FALSE) / VLOOKUP("transport|PM25|Asthma symptoms wheeze", US_national_yearly!$D:$AM, 10, FALSE), 1)</f>
        <v>0.12071316835582294</v>
      </c>
      <c r="V8" s="7">
        <f>$B8 * IFERROR(VLOOKUP("transport|PM25|Asthma symptoms wheeze", US_national_yearly!$D:$AM, 30, FALSE) / VLOOKUP("transport|PM25|Asthma symptoms wheeze", US_national_yearly!$D:$AM, 10, FALSE), 1)</f>
        <v>0.12071316835582294</v>
      </c>
      <c r="W8" s="7">
        <f>$B8 * IFERROR(VLOOKUP("transport|PM25|Asthma symptoms wheeze", US_national_yearly!$D:$AM, 31, FALSE) / VLOOKUP("transport|PM25|Asthma symptoms wheeze", US_national_yearly!$D:$AM, 10, FALSE), 1)</f>
        <v>0.12071316835582294</v>
      </c>
      <c r="X8" s="7">
        <f>$B8 * IFERROR(VLOOKUP("transport|PM25|Asthma symptoms wheeze", US_national_yearly!$D:$AM, 32, FALSE) / VLOOKUP("transport|PM25|Asthma symptoms wheeze", US_national_yearly!$D:$AM, 10, FALSE), 1)</f>
        <v>0.12071316835582294</v>
      </c>
      <c r="Y8" s="7">
        <f>$B8 * IFERROR(VLOOKUP("transport|PM25|Asthma symptoms wheeze", US_national_yearly!$D:$AM, 33, FALSE) / VLOOKUP("transport|PM25|Asthma symptoms wheeze", US_national_yearly!$D:$AM, 10, FALSE), 1)</f>
        <v>0.12071316835582294</v>
      </c>
      <c r="Z8" s="7">
        <f>$B8 * IFERROR(VLOOKUP("transport|PM25|Asthma symptoms wheeze", US_national_yearly!$D:$AM, 34, FALSE) / VLOOKUP("transport|PM25|Asthma symptoms wheeze", US_national_yearly!$D:$AM, 10, FALSE), 1)</f>
        <v>0.12071316835582294</v>
      </c>
      <c r="AA8" s="7">
        <f>$B8 * IFERROR(VLOOKUP("transport|PM25|Asthma symptoms wheeze", US_national_yearly!$D:$AM, 35, FALSE) / VLOOKUP("transport|PM25|Asthma symptoms wheeze", US_national_yearly!$D:$AM, 10, FALSE), 1)</f>
        <v>0.12071316835582294</v>
      </c>
      <c r="AB8" s="7">
        <f>$B8 * IFERROR(VLOOKUP("transport|PM25|Asthma symptoms wheeze", US_national_yearly!$D:$AM, 36, FALSE) / VLOOKUP("transport|PM25|Asthma symptoms wheeze", US_national_yearly!$D:$AM, 10, FALSE), 1)</f>
        <v>0.12071316835582294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4.943269802190702E-3</v>
      </c>
      <c r="C12" s="7">
        <f>$B12 * IFERROR(VLOOKUP("transport|PM25|Respiratory hospital admissions", US_national_yearly!$D:$AM, 11, FALSE) / VLOOKUP("transport|PM25|Respiratory hospital admissions", US_national_yearly!$D:$AM, 10, FALSE), 1)</f>
        <v>4.9716026322775978E-3</v>
      </c>
      <c r="D12" s="7">
        <f>$B12 * IFERROR(VLOOKUP("transport|PM25|Respiratory hospital admissions", US_national_yearly!$D:$AM, 12, FALSE) / VLOOKUP("transport|PM25|Respiratory hospital admissions", US_national_yearly!$D:$AM, 10, FALSE), 1)</f>
        <v>4.9999354623644927E-3</v>
      </c>
      <c r="E12" s="7">
        <f>$B12 * IFERROR(VLOOKUP("transport|PM25|Respiratory hospital admissions", US_national_yearly!$D:$AM, 13, FALSE) / VLOOKUP("transport|PM25|Respiratory hospital admissions", US_national_yearly!$D:$AM, 10, FALSE), 1)</f>
        <v>5.0282682924513884E-3</v>
      </c>
      <c r="F12" s="7">
        <f>$B12 * IFERROR(VLOOKUP("transport|PM25|Respiratory hospital admissions", US_national_yearly!$D:$AM, 14, FALSE) / VLOOKUP("transport|PM25|Respiratory hospital admissions", US_national_yearly!$D:$AM, 10, FALSE), 1)</f>
        <v>5.0566011225382825E-3</v>
      </c>
      <c r="G12" s="7">
        <f>$B12 * IFERROR(VLOOKUP("transport|PM25|Respiratory hospital admissions", US_national_yearly!$D:$AM, 15, FALSE) / VLOOKUP("transport|PM25|Respiratory hospital admissions", US_national_yearly!$D:$AM, 10, FALSE), 1)</f>
        <v>5.0872017875768071E-3</v>
      </c>
      <c r="H12" s="7">
        <f>$B12 * IFERROR(VLOOKUP("transport|PM25|Respiratory hospital admissions", US_national_yearly!$D:$AM, 16, FALSE) / VLOOKUP("transport|PM25|Respiratory hospital admissions", US_national_yearly!$D:$AM, 10, FALSE), 1)</f>
        <v>5.1178024526153327E-3</v>
      </c>
      <c r="I12" s="7">
        <f>$B12 * IFERROR(VLOOKUP("transport|PM25|Respiratory hospital admissions", US_national_yearly!$D:$AM, 17, FALSE) / VLOOKUP("transport|PM25|Respiratory hospital admissions", US_national_yearly!$D:$AM, 10, FALSE), 1)</f>
        <v>5.1470402254329087E-3</v>
      </c>
      <c r="J12" s="7">
        <f>$B12 * IFERROR(VLOOKUP("transport|PM25|Respiratory hospital admissions", US_national_yearly!$D:$AM, 18, FALSE) / VLOOKUP("transport|PM25|Respiratory hospital admissions", US_national_yearly!$D:$AM, 10, FALSE), 1)</f>
        <v>5.1762779982504883E-3</v>
      </c>
      <c r="K12" s="7">
        <f>$B12 * IFERROR(VLOOKUP("transport|PM25|Respiratory hospital admissions", US_national_yearly!$D:$AM, 19, FALSE) / VLOOKUP("transport|PM25|Respiratory hospital admissions", US_national_yearly!$D:$AM, 10, FALSE), 1)</f>
        <v>5.2055157710680661E-3</v>
      </c>
      <c r="L12" s="7">
        <f>$B12 * IFERROR(VLOOKUP("transport|PM25|Respiratory hospital admissions", US_national_yearly!$D:$AM, 20, FALSE) / VLOOKUP("transport|PM25|Respiratory hospital admissions", US_national_yearly!$D:$AM, 10, FALSE), 1)</f>
        <v>5.2347535438856448E-3</v>
      </c>
      <c r="M12" s="7">
        <f>$B12 * IFERROR(VLOOKUP("transport|PM25|Respiratory hospital admissions", US_national_yearly!$D:$AM, 21, FALSE) / VLOOKUP("transport|PM25|Respiratory hospital admissions", US_national_yearly!$D:$AM, 10, FALSE), 1)</f>
        <v>5.2639913167032218E-3</v>
      </c>
      <c r="N12" s="7">
        <f>$B12 * IFERROR(VLOOKUP("transport|PM25|Respiratory hospital admissions", US_national_yearly!$D:$AM, 22, FALSE) / VLOOKUP("transport|PM25|Respiratory hospital admissions", US_national_yearly!$D:$AM, 10, FALSE), 1)</f>
        <v>5.2849761194660849E-3</v>
      </c>
      <c r="O12" s="7">
        <f>$B12 * IFERROR(VLOOKUP("transport|PM25|Respiratory hospital admissions", US_national_yearly!$D:$AM, 23, FALSE) / VLOOKUP("transport|PM25|Respiratory hospital admissions", US_national_yearly!$D:$AM, 10, FALSE), 1)</f>
        <v>5.305960922228947E-3</v>
      </c>
      <c r="P12" s="7">
        <f>$B12 * IFERROR(VLOOKUP("transport|PM25|Respiratory hospital admissions", US_national_yearly!$D:$AM, 24, FALSE) / VLOOKUP("transport|PM25|Respiratory hospital admissions", US_national_yearly!$D:$AM, 10, FALSE), 1)</f>
        <v>5.3269457249918075E-3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5.3479305277546697E-3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5.3689153305175328E-3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5.3888956278705423E-3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5.4088759252235519E-3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5.4288562225765615E-3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5.4488365199295711E-3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5.4688168172825806E-3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5.4880381182082485E-3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5.5072594191339147E-3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5.5264807200595826E-3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5.5457020209852487E-3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5.5649233219109157E-3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3.0583883088222262E-2</v>
      </c>
      <c r="C13" s="7">
        <f>$B13 * IFERROR(VLOOKUP("transport|PM25|Non-fatal heart attacks", US_national_yearly!$D:$AM, 11, FALSE) / VLOOKUP("transport|PM25|Non-fatal heart attacks", US_national_yearly!$D:$AM, 10, FALSE), 1)</f>
        <v>3.1473037729933803E-2</v>
      </c>
      <c r="D13" s="7">
        <f>$B13 * IFERROR(VLOOKUP("transport|PM25|Non-fatal heart attacks", US_national_yearly!$D:$AM, 12, FALSE) / VLOOKUP("transport|PM25|Non-fatal heart attacks", US_national_yearly!$D:$AM, 10, FALSE), 1)</f>
        <v>3.2362192371645344E-2</v>
      </c>
      <c r="E13" s="7">
        <f>$B13 * IFERROR(VLOOKUP("transport|PM25|Non-fatal heart attacks", US_national_yearly!$D:$AM, 13, FALSE) / VLOOKUP("transport|PM25|Non-fatal heart attacks", US_national_yearly!$D:$AM, 10, FALSE), 1)</f>
        <v>3.3251347013356886E-2</v>
      </c>
      <c r="F13" s="7">
        <f>$B13 * IFERROR(VLOOKUP("transport|PM25|Non-fatal heart attacks", US_national_yearly!$D:$AM, 14, FALSE) / VLOOKUP("transport|PM25|Non-fatal heart attacks", US_national_yearly!$D:$AM, 10, FALSE), 1)</f>
        <v>3.4140501655068434E-2</v>
      </c>
      <c r="G13" s="7">
        <f>$B13 * IFERROR(VLOOKUP("transport|PM25|Non-fatal heart attacks", US_national_yearly!$D:$AM, 15, FALSE) / VLOOKUP("transport|PM25|Non-fatal heart attacks", US_national_yearly!$D:$AM, 10, FALSE), 1)</f>
        <v>3.4979030693469089E-2</v>
      </c>
      <c r="H13" s="7">
        <f>$B13 * IFERROR(VLOOKUP("transport|PM25|Non-fatal heart attacks", US_national_yearly!$D:$AM, 16, FALSE) / VLOOKUP("transport|PM25|Non-fatal heart attacks", US_national_yearly!$D:$AM, 10, FALSE), 1)</f>
        <v>3.5817559731869744E-2</v>
      </c>
      <c r="I13" s="7">
        <f>$B13 * IFERROR(VLOOKUP("transport|PM25|Non-fatal heart attacks", US_national_yearly!$D:$AM, 17, FALSE) / VLOOKUP("transport|PM25|Non-fatal heart attacks", US_national_yearly!$D:$AM, 10, FALSE), 1)</f>
        <v>3.6491458054009003E-2</v>
      </c>
      <c r="J13" s="7">
        <f>$B13 * IFERROR(VLOOKUP("transport|PM25|Non-fatal heart attacks", US_national_yearly!$D:$AM, 18, FALSE) / VLOOKUP("transport|PM25|Non-fatal heart attacks", US_national_yearly!$D:$AM, 10, FALSE), 1)</f>
        <v>3.7165356376148269E-2</v>
      </c>
      <c r="K13" s="7">
        <f>$B13 * IFERROR(VLOOKUP("transport|PM25|Non-fatal heart attacks", US_national_yearly!$D:$AM, 19, FALSE) / VLOOKUP("transport|PM25|Non-fatal heart attacks", US_national_yearly!$D:$AM, 10, FALSE), 1)</f>
        <v>3.7839254698287542E-2</v>
      </c>
      <c r="L13" s="7">
        <f>$B13 * IFERROR(VLOOKUP("transport|PM25|Non-fatal heart attacks", US_national_yearly!$D:$AM, 20, FALSE) / VLOOKUP("transport|PM25|Non-fatal heart attacks", US_national_yearly!$D:$AM, 10, FALSE), 1)</f>
        <v>3.8513153020426807E-2</v>
      </c>
      <c r="M13" s="7">
        <f>$B13 * IFERROR(VLOOKUP("transport|PM25|Non-fatal heart attacks", US_national_yearly!$D:$AM, 21, FALSE) / VLOOKUP("transport|PM25|Non-fatal heart attacks", US_national_yearly!$D:$AM, 10, FALSE), 1)</f>
        <v>3.918705134256608E-2</v>
      </c>
      <c r="N13" s="7">
        <f>$B13 * IFERROR(VLOOKUP("transport|PM25|Non-fatal heart attacks", US_national_yearly!$D:$AM, 22, FALSE) / VLOOKUP("transport|PM25|Non-fatal heart attacks", US_national_yearly!$D:$AM, 10, FALSE), 1)</f>
        <v>3.9621649215932829E-2</v>
      </c>
      <c r="O13" s="7">
        <f>$B13 * IFERROR(VLOOKUP("transport|PM25|Non-fatal heart attacks", US_national_yearly!$D:$AM, 23, FALSE) / VLOOKUP("transport|PM25|Non-fatal heart attacks", US_national_yearly!$D:$AM, 10, FALSE), 1)</f>
        <v>4.0056247089299592E-2</v>
      </c>
      <c r="P13" s="7">
        <f>$B13 * IFERROR(VLOOKUP("transport|PM25|Non-fatal heart attacks", US_national_yearly!$D:$AM, 24, FALSE) / VLOOKUP("transport|PM25|Non-fatal heart attacks", US_national_yearly!$D:$AM, 10, FALSE), 1)</f>
        <v>4.0490844962666354E-2</v>
      </c>
      <c r="Q13" s="7">
        <f>$B13 * IFERROR(VLOOKUP("transport|PM25|Non-fatal heart attacks", US_national_yearly!$D:$AM, 25, FALSE) / VLOOKUP("transport|PM25|Non-fatal heart attacks", US_national_yearly!$D:$AM, 10, FALSE), 1)</f>
        <v>4.0925442836033103E-2</v>
      </c>
      <c r="R13" s="7">
        <f>$B13 * IFERROR(VLOOKUP("transport|PM25|Non-fatal heart attacks", US_national_yearly!$D:$AM, 26, FALSE) / VLOOKUP("transport|PM25|Non-fatal heart attacks", US_national_yearly!$D:$AM, 10, FALSE), 1)</f>
        <v>4.1360040709399866E-2</v>
      </c>
      <c r="S13" s="7">
        <f>$B13 * IFERROR(VLOOKUP("transport|PM25|Non-fatal heart attacks", US_national_yearly!$D:$AM, 27, FALSE) / VLOOKUP("transport|PM25|Non-fatal heart attacks", US_national_yearly!$D:$AM, 10, FALSE), 1)</f>
        <v>4.1588912365881282E-2</v>
      </c>
      <c r="T13" s="7">
        <f>$B13 * IFERROR(VLOOKUP("transport|PM25|Non-fatal heart attacks", US_national_yearly!$D:$AM, 28, FALSE) / VLOOKUP("transport|PM25|Non-fatal heart attacks", US_national_yearly!$D:$AM, 10, FALSE), 1)</f>
        <v>4.1817784022362713E-2</v>
      </c>
      <c r="U13" s="7">
        <f>$B13 * IFERROR(VLOOKUP("transport|PM25|Non-fatal heart attacks", US_national_yearly!$D:$AM, 29, FALSE) / VLOOKUP("transport|PM25|Non-fatal heart attacks", US_national_yearly!$D:$AM, 10, FALSE), 1)</f>
        <v>4.2046655678844143E-2</v>
      </c>
      <c r="V13" s="7">
        <f>$B13 * IFERROR(VLOOKUP("transport|PM25|Non-fatal heart attacks", US_national_yearly!$D:$AM, 30, FALSE) / VLOOKUP("transport|PM25|Non-fatal heart attacks", US_national_yearly!$D:$AM, 10, FALSE), 1)</f>
        <v>4.2275527335325566E-2</v>
      </c>
      <c r="W13" s="7">
        <f>$B13 * IFERROR(VLOOKUP("transport|PM25|Non-fatal heart attacks", US_national_yearly!$D:$AM, 31, FALSE) / VLOOKUP("transport|PM25|Non-fatal heart attacks", US_national_yearly!$D:$AM, 10, FALSE), 1)</f>
        <v>4.2504398991806989E-2</v>
      </c>
      <c r="X13" s="7">
        <f>$B13 * IFERROR(VLOOKUP("transport|PM25|Non-fatal heart attacks", US_national_yearly!$D:$AM, 32, FALSE) / VLOOKUP("transport|PM25|Non-fatal heart attacks", US_national_yearly!$D:$AM, 10, FALSE), 1)</f>
        <v>4.2678145673237765E-2</v>
      </c>
      <c r="Y13" s="7">
        <f>$B13 * IFERROR(VLOOKUP("transport|PM25|Non-fatal heart attacks", US_national_yearly!$D:$AM, 33, FALSE) / VLOOKUP("transport|PM25|Non-fatal heart attacks", US_national_yearly!$D:$AM, 10, FALSE), 1)</f>
        <v>4.2851892354668547E-2</v>
      </c>
      <c r="Z13" s="7">
        <f>$B13 * IFERROR(VLOOKUP("transport|PM25|Non-fatal heart attacks", US_national_yearly!$D:$AM, 34, FALSE) / VLOOKUP("transport|PM25|Non-fatal heart attacks", US_national_yearly!$D:$AM, 10, FALSE), 1)</f>
        <v>4.3025639036099322E-2</v>
      </c>
      <c r="AA13" s="7">
        <f>$B13 * IFERROR(VLOOKUP("transport|PM25|Non-fatal heart attacks", US_national_yearly!$D:$AM, 35, FALSE) / VLOOKUP("transport|PM25|Non-fatal heart attacks", US_national_yearly!$D:$AM, 10, FALSE), 1)</f>
        <v>4.3199385717530105E-2</v>
      </c>
      <c r="AB13" s="7">
        <f>$B13 * IFERROR(VLOOKUP("transport|PM25|Non-fatal heart attacks", US_national_yearly!$D:$AM, 36, FALSE) / VLOOKUP("transport|PM25|Non-fatal heart attacks", US_national_yearly!$D:$AM, 10, FALSE), 1)</f>
        <v>4.337313239896088E-2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7.3003527233053367</v>
      </c>
      <c r="C14" s="7">
        <f>$B14 * IFERROR(VLOOKUP("transport|PM25|Minor restricted activity days", US_national_yearly!$D:$AM, 11, FALSE) / VLOOKUP("transport|PM25|Minor restricted activity days", US_national_yearly!$D:$AM, 10, FALSE), 1)</f>
        <v>7.3181810504109297</v>
      </c>
      <c r="D14" s="7">
        <f>$B14 * IFERROR(VLOOKUP("transport|PM25|Minor restricted activity days", US_national_yearly!$D:$AM, 12, FALSE) / VLOOKUP("transport|PM25|Minor restricted activity days", US_national_yearly!$D:$AM, 10, FALSE), 1)</f>
        <v>7.3360093775165236</v>
      </c>
      <c r="E14" s="7">
        <f>$B14 * IFERROR(VLOOKUP("transport|PM25|Minor restricted activity days", US_national_yearly!$D:$AM, 13, FALSE) / VLOOKUP("transport|PM25|Minor restricted activity days", US_national_yearly!$D:$AM, 10, FALSE), 1)</f>
        <v>7.3538377046221184</v>
      </c>
      <c r="F14" s="7">
        <f>$B14 * IFERROR(VLOOKUP("transport|PM25|Minor restricted activity days", US_national_yearly!$D:$AM, 14, FALSE) / VLOOKUP("transport|PM25|Minor restricted activity days", US_national_yearly!$D:$AM, 10, FALSE), 1)</f>
        <v>7.3716660317277105</v>
      </c>
      <c r="G14" s="7">
        <f>$B14 * IFERROR(VLOOKUP("transport|PM25|Minor restricted activity days", US_national_yearly!$D:$AM, 15, FALSE) / VLOOKUP("transport|PM25|Minor restricted activity days", US_national_yearly!$D:$AM, 10, FALSE), 1)</f>
        <v>7.39797119481642</v>
      </c>
      <c r="H14" s="7">
        <f>$B14 * IFERROR(VLOOKUP("transport|PM25|Minor restricted activity days", US_national_yearly!$D:$AM, 16, FALSE) / VLOOKUP("transport|PM25|Minor restricted activity days", US_national_yearly!$D:$AM, 10, FALSE), 1)</f>
        <v>7.4242763579051294</v>
      </c>
      <c r="I14" s="7">
        <f>$B14 * IFERROR(VLOOKUP("transport|PM25|Minor restricted activity days", US_national_yearly!$D:$AM, 17, FALSE) / VLOOKUP("transport|PM25|Minor restricted activity days", US_national_yearly!$D:$AM, 10, FALSE), 1)</f>
        <v>7.4692461408853434</v>
      </c>
      <c r="J14" s="7">
        <f>$B14 * IFERROR(VLOOKUP("transport|PM25|Minor restricted activity days", US_national_yearly!$D:$AM, 18, FALSE) / VLOOKUP("transport|PM25|Minor restricted activity days", US_national_yearly!$D:$AM, 10, FALSE), 1)</f>
        <v>7.514215923865553</v>
      </c>
      <c r="K14" s="7">
        <f>$B14 * IFERROR(VLOOKUP("transport|PM25|Minor restricted activity days", US_national_yearly!$D:$AM, 19, FALSE) / VLOOKUP("transport|PM25|Minor restricted activity days", US_national_yearly!$D:$AM, 10, FALSE), 1)</f>
        <v>7.5591857068457671</v>
      </c>
      <c r="L14" s="7">
        <f>$B14 * IFERROR(VLOOKUP("transport|PM25|Minor restricted activity days", US_national_yearly!$D:$AM, 20, FALSE) / VLOOKUP("transport|PM25|Minor restricted activity days", US_national_yearly!$D:$AM, 10, FALSE), 1)</f>
        <v>7.6041554898259784</v>
      </c>
      <c r="M14" s="7">
        <f>$B14 * IFERROR(VLOOKUP("transport|PM25|Minor restricted activity days", US_national_yearly!$D:$AM, 21, FALSE) / VLOOKUP("transport|PM25|Minor restricted activity days", US_national_yearly!$D:$AM, 10, FALSE), 1)</f>
        <v>7.6491252728061907</v>
      </c>
      <c r="N14" s="7">
        <f>$B14 * IFERROR(VLOOKUP("transport|PM25|Minor restricted activity days", US_national_yearly!$D:$AM, 22, FALSE) / VLOOKUP("transport|PM25|Minor restricted activity days", US_national_yearly!$D:$AM, 10, FALSE), 1)</f>
        <v>7.7103830706931085</v>
      </c>
      <c r="O14" s="7">
        <f>$B14 * IFERROR(VLOOKUP("transport|PM25|Minor restricted activity days", US_national_yearly!$D:$AM, 23, FALSE) / VLOOKUP("transport|PM25|Minor restricted activity days", US_national_yearly!$D:$AM, 10, FALSE), 1)</f>
        <v>7.7716408685800236</v>
      </c>
      <c r="P14" s="7">
        <f>$B14 * IFERROR(VLOOKUP("transport|PM25|Minor restricted activity days", US_national_yearly!$D:$AM, 24, FALSE) / VLOOKUP("transport|PM25|Minor restricted activity days", US_national_yearly!$D:$AM, 10, FALSE), 1)</f>
        <v>7.8328986664669413</v>
      </c>
      <c r="Q14" s="7">
        <f>$B14 * IFERROR(VLOOKUP("transport|PM25|Minor restricted activity days", US_national_yearly!$D:$AM, 25, FALSE) / VLOOKUP("transport|PM25|Minor restricted activity days", US_national_yearly!$D:$AM, 10, FALSE), 1)</f>
        <v>7.8941564643538573</v>
      </c>
      <c r="R14" s="7">
        <f>$B14 * IFERROR(VLOOKUP("transport|PM25|Minor restricted activity days", US_national_yearly!$D:$AM, 26, FALSE) / VLOOKUP("transport|PM25|Minor restricted activity days", US_national_yearly!$D:$AM, 10, FALSE), 1)</f>
        <v>7.9554142622407733</v>
      </c>
      <c r="S14" s="7">
        <f>$B14 * IFERROR(VLOOKUP("transport|PM25|Minor restricted activity days", US_national_yearly!$D:$AM, 27, FALSE) / VLOOKUP("transport|PM25|Minor restricted activity days", US_national_yearly!$D:$AM, 10, FALSE), 1)</f>
        <v>8.0170939225088187</v>
      </c>
      <c r="T14" s="7">
        <f>$B14 * IFERROR(VLOOKUP("transport|PM25|Minor restricted activity days", US_national_yearly!$D:$AM, 28, FALSE) / VLOOKUP("transport|PM25|Minor restricted activity days", US_national_yearly!$D:$AM, 10, FALSE), 1)</f>
        <v>8.078773582776865</v>
      </c>
      <c r="U14" s="7">
        <f>$B14 * IFERROR(VLOOKUP("transport|PM25|Minor restricted activity days", US_national_yearly!$D:$AM, 29, FALSE) / VLOOKUP("transport|PM25|Minor restricted activity days", US_national_yearly!$D:$AM, 10, FALSE), 1)</f>
        <v>8.1404532430449095</v>
      </c>
      <c r="V14" s="7">
        <f>$B14 * IFERROR(VLOOKUP("transport|PM25|Minor restricted activity days", US_national_yearly!$D:$AM, 30, FALSE) / VLOOKUP("transport|PM25|Minor restricted activity days", US_national_yearly!$D:$AM, 10, FALSE), 1)</f>
        <v>8.2021329033129557</v>
      </c>
      <c r="W14" s="7">
        <f>$B14 * IFERROR(VLOOKUP("transport|PM25|Minor restricted activity days", US_national_yearly!$D:$AM, 31, FALSE) / VLOOKUP("transport|PM25|Minor restricted activity days", US_national_yearly!$D:$AM, 10, FALSE), 1)</f>
        <v>8.2638125635810002</v>
      </c>
      <c r="X14" s="7">
        <f>$B14 * IFERROR(VLOOKUP("transport|PM25|Minor restricted activity days", US_national_yearly!$D:$AM, 32, FALSE) / VLOOKUP("transport|PM25|Minor restricted activity days", US_national_yearly!$D:$AM, 10, FALSE), 1)</f>
        <v>8.3173567137855464</v>
      </c>
      <c r="Y14" s="7">
        <f>$B14 * IFERROR(VLOOKUP("transport|PM25|Minor restricted activity days", US_national_yearly!$D:$AM, 33, FALSE) / VLOOKUP("transport|PM25|Minor restricted activity days", US_national_yearly!$D:$AM, 10, FALSE), 1)</f>
        <v>8.3709008639900926</v>
      </c>
      <c r="Z14" s="7">
        <f>$B14 * IFERROR(VLOOKUP("transport|PM25|Minor restricted activity days", US_national_yearly!$D:$AM, 34, FALSE) / VLOOKUP("transport|PM25|Minor restricted activity days", US_national_yearly!$D:$AM, 10, FALSE), 1)</f>
        <v>8.424445014194637</v>
      </c>
      <c r="AA14" s="7">
        <f>$B14 * IFERROR(VLOOKUP("transport|PM25|Minor restricted activity days", US_national_yearly!$D:$AM, 35, FALSE) / VLOOKUP("transport|PM25|Minor restricted activity days", US_national_yearly!$D:$AM, 10, FALSE), 1)</f>
        <v>8.4779891643991814</v>
      </c>
      <c r="AB14" s="7">
        <f>$B14 * IFERROR(VLOOKUP("transport|PM25|Minor restricted activity days", US_national_yearly!$D:$AM, 36, FALSE) / VLOOKUP("transport|PM25|Minor restricted activity days", US_national_yearly!$D:$AM, 10, FALSE), 1)</f>
        <v>8.5315333146037275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1.2392380508987164</v>
      </c>
      <c r="C15" s="7">
        <f>$B15 * IFERROR(VLOOKUP("transport|PM25|Work loss days", US_national_yearly!$D:$AM, 11, FALSE) / VLOOKUP("transport|PM25|Work loss days", US_national_yearly!$D:$AM, 10, FALSE), 1)</f>
        <v>1.2430792425191481</v>
      </c>
      <c r="D15" s="7">
        <f>$B15 * IFERROR(VLOOKUP("transport|PM25|Work loss days", US_national_yearly!$D:$AM, 12, FALSE) / VLOOKUP("transport|PM25|Work loss days", US_national_yearly!$D:$AM, 10, FALSE), 1)</f>
        <v>1.2469204341395801</v>
      </c>
      <c r="E15" s="7">
        <f>$B15 * IFERROR(VLOOKUP("transport|PM25|Work loss days", US_national_yearly!$D:$AM, 13, FALSE) / VLOOKUP("transport|PM25|Work loss days", US_national_yearly!$D:$AM, 10, FALSE), 1)</f>
        <v>1.2507616257600116</v>
      </c>
      <c r="F15" s="7">
        <f>$B15 * IFERROR(VLOOKUP("transport|PM25|Work loss days", US_national_yearly!$D:$AM, 14, FALSE) / VLOOKUP("transport|PM25|Work loss days", US_national_yearly!$D:$AM, 10, FALSE), 1)</f>
        <v>1.2546028173804433</v>
      </c>
      <c r="G15" s="7">
        <f>$B15 * IFERROR(VLOOKUP("transport|PM25|Work loss days", US_national_yearly!$D:$AM, 15, FALSE) / VLOOKUP("transport|PM25|Work loss days", US_national_yearly!$D:$AM, 10, FALSE), 1)</f>
        <v>1.2596388647049506</v>
      </c>
      <c r="H15" s="7">
        <f>$B15 * IFERROR(VLOOKUP("transport|PM25|Work loss days", US_national_yearly!$D:$AM, 16, FALSE) / VLOOKUP("transport|PM25|Work loss days", US_national_yearly!$D:$AM, 10, FALSE), 1)</f>
        <v>1.2646749120294583</v>
      </c>
      <c r="I15" s="7">
        <f>$B15 * IFERROR(VLOOKUP("transport|PM25|Work loss days", US_national_yearly!$D:$AM, 17, FALSE) / VLOOKUP("transport|PM25|Work loss days", US_national_yearly!$D:$AM, 10, FALSE), 1)</f>
        <v>1.2720910456039964</v>
      </c>
      <c r="J15" s="7">
        <f>$B15 * IFERROR(VLOOKUP("transport|PM25|Work loss days", US_national_yearly!$D:$AM, 18, FALSE) / VLOOKUP("transport|PM25|Work loss days", US_national_yearly!$D:$AM, 10, FALSE), 1)</f>
        <v>1.2795071791785346</v>
      </c>
      <c r="K15" s="7">
        <f>$B15 * IFERROR(VLOOKUP("transport|PM25|Work loss days", US_national_yearly!$D:$AM, 19, FALSE) / VLOOKUP("transport|PM25|Work loss days", US_national_yearly!$D:$AM, 10, FALSE), 1)</f>
        <v>1.2869233127530728</v>
      </c>
      <c r="L15" s="7">
        <f>$B15 * IFERROR(VLOOKUP("transport|PM25|Work loss days", US_national_yearly!$D:$AM, 20, FALSE) / VLOOKUP("transport|PM25|Work loss days", US_national_yearly!$D:$AM, 10, FALSE), 1)</f>
        <v>1.294339446327611</v>
      </c>
      <c r="M15" s="7">
        <f>$B15 * IFERROR(VLOOKUP("transport|PM25|Work loss days", US_national_yearly!$D:$AM, 21, FALSE) / VLOOKUP("transport|PM25|Work loss days", US_national_yearly!$D:$AM, 10, FALSE), 1)</f>
        <v>1.3017555799021492</v>
      </c>
      <c r="N15" s="7">
        <f>$B15 * IFERROR(VLOOKUP("transport|PM25|Work loss days", US_national_yearly!$D:$AM, 22, FALSE) / VLOOKUP("transport|PM25|Work loss days", US_national_yearly!$D:$AM, 10, FALSE), 1)</f>
        <v>1.3110893453239645</v>
      </c>
      <c r="O15" s="7">
        <f>$B15 * IFERROR(VLOOKUP("transport|PM25|Work loss days", US_national_yearly!$D:$AM, 23, FALSE) / VLOOKUP("transport|PM25|Work loss days", US_national_yearly!$D:$AM, 10, FALSE), 1)</f>
        <v>1.3204231107457796</v>
      </c>
      <c r="P15" s="7">
        <f>$B15 * IFERROR(VLOOKUP("transport|PM25|Work loss days", US_national_yearly!$D:$AM, 24, FALSE) / VLOOKUP("transport|PM25|Work loss days", US_national_yearly!$D:$AM, 10, FALSE), 1)</f>
        <v>1.3297568761675946</v>
      </c>
      <c r="Q15" s="7">
        <f>$B15 * IFERROR(VLOOKUP("transport|PM25|Work loss days", US_national_yearly!$D:$AM, 25, FALSE) / VLOOKUP("transport|PM25|Work loss days", US_national_yearly!$D:$AM, 10, FALSE), 1)</f>
        <v>1.3390906415894097</v>
      </c>
      <c r="R15" s="7">
        <f>$B15 * IFERROR(VLOOKUP("transport|PM25|Work loss days", US_national_yearly!$D:$AM, 26, FALSE) / VLOOKUP("transport|PM25|Work loss days", US_national_yearly!$D:$AM, 10, FALSE), 1)</f>
        <v>1.348424407011225</v>
      </c>
      <c r="S15" s="7">
        <f>$B15 * IFERROR(VLOOKUP("transport|PM25|Work loss days", US_national_yearly!$D:$AM, 27, FALSE) / VLOOKUP("transport|PM25|Work loss days", US_national_yearly!$D:$AM, 10, FALSE), 1)</f>
        <v>1.3587479500584287</v>
      </c>
      <c r="T15" s="7">
        <f>$B15 * IFERROR(VLOOKUP("transport|PM25|Work loss days", US_national_yearly!$D:$AM, 28, FALSE) / VLOOKUP("transport|PM25|Work loss days", US_national_yearly!$D:$AM, 10, FALSE), 1)</f>
        <v>1.3690714931056327</v>
      </c>
      <c r="U15" s="7">
        <f>$B15 * IFERROR(VLOOKUP("transport|PM25|Work loss days", US_national_yearly!$D:$AM, 29, FALSE) / VLOOKUP("transport|PM25|Work loss days", US_national_yearly!$D:$AM, 10, FALSE), 1)</f>
        <v>1.3793950361528362</v>
      </c>
      <c r="V15" s="7">
        <f>$B15 * IFERROR(VLOOKUP("transport|PM25|Work loss days", US_national_yearly!$D:$AM, 30, FALSE) / VLOOKUP("transport|PM25|Work loss days", US_national_yearly!$D:$AM, 10, FALSE), 1)</f>
        <v>1.3897185792000404</v>
      </c>
      <c r="W15" s="7">
        <f>$B15 * IFERROR(VLOOKUP("transport|PM25|Work loss days", US_national_yearly!$D:$AM, 31, FALSE) / VLOOKUP("transport|PM25|Work loss days", US_national_yearly!$D:$AM, 10, FALSE), 1)</f>
        <v>1.4000421222472441</v>
      </c>
      <c r="X15" s="7">
        <f>$B15 * IFERROR(VLOOKUP("transport|PM25|Work loss days", US_national_yearly!$D:$AM, 32, FALSE) / VLOOKUP("transport|PM25|Work loss days", US_national_yearly!$D:$AM, 10, FALSE), 1)</f>
        <v>1.4092018892270695</v>
      </c>
      <c r="Y15" s="7">
        <f>$B15 * IFERROR(VLOOKUP("transport|PM25|Work loss days", US_national_yearly!$D:$AM, 33, FALSE) / VLOOKUP("transport|PM25|Work loss days", US_national_yearly!$D:$AM, 10, FALSE), 1)</f>
        <v>1.418361656206895</v>
      </c>
      <c r="Z15" s="7">
        <f>$B15 * IFERROR(VLOOKUP("transport|PM25|Work loss days", US_national_yearly!$D:$AM, 34, FALSE) / VLOOKUP("transport|PM25|Work loss days", US_national_yearly!$D:$AM, 10, FALSE), 1)</f>
        <v>1.4275214231867206</v>
      </c>
      <c r="AA15" s="7">
        <f>$B15 * IFERROR(VLOOKUP("transport|PM25|Work loss days", US_national_yearly!$D:$AM, 35, FALSE) / VLOOKUP("transport|PM25|Work loss days", US_national_yearly!$D:$AM, 10, FALSE), 1)</f>
        <v>1.4366811901665464</v>
      </c>
      <c r="AB15" s="7">
        <f>$B15 * IFERROR(VLOOKUP("transport|PM25|Work loss days", US_national_yearly!$D:$AM, 36, FALSE) / VLOOKUP("transport|PM25|Work loss days", US_national_yearly!$D:$AM, 10, FALSE), 1)</f>
        <v>1.4458409571463717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7.5753011561063548E-3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7.8016564370359991E-3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8.0280117179656451E-3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8.254366998895292E-3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8.4807222798249388E-3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8.697530205847244E-3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8.9143381318695543E-3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9.099764173436135E-3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9.285190215002714E-3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9.470616256569293E-3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9.6560422981358755E-3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9.8414683397024545E-3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9.9650961151386188E-3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1.0088723890574785E-2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1.0212351666010949E-2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1.0335979441447115E-2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1.045960721688328E-2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1.0525017852110253E-2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1.0590428487337223E-2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1.0655839122564193E-2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1.0721249757791165E-2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1.0786660393018137E-2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1.0830695693062475E-2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1.0874730993106813E-2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1.0918766293151153E-2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1.096280159319549E-2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1.100683689323983E-2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8.652439332861759E-4</v>
      </c>
      <c r="C2" s="7">
        <f>$B2 * IFERROR(VLOOKUP("transport|NOx|Premature mortality", US_national_yearly!$D:$AM, 11, FALSE) / VLOOKUP("transport|NOx|Premature mortality", US_national_yearly!$D:$AM, 10, FALSE), 1)</f>
        <v>8.7795290418475982E-4</v>
      </c>
      <c r="D2" s="7">
        <f>$B2 * IFERROR(VLOOKUP("transport|NOx|Premature mortality", US_national_yearly!$D:$AM, 12, FALSE) / VLOOKUP("transport|NOx|Premature mortality", US_national_yearly!$D:$AM, 10, FALSE), 1)</f>
        <v>8.9066187508334352E-4</v>
      </c>
      <c r="E2" s="7">
        <f>$B2 * IFERROR(VLOOKUP("transport|NOx|Premature mortality", US_national_yearly!$D:$AM, 13, FALSE) / VLOOKUP("transport|NOx|Premature mortality", US_national_yearly!$D:$AM, 10, FALSE), 1)</f>
        <v>9.0337084598192743E-4</v>
      </c>
      <c r="F2" s="7">
        <f>$B2 * IFERROR(VLOOKUP("transport|NOx|Premature mortality", US_national_yearly!$D:$AM, 14, FALSE) / VLOOKUP("transport|NOx|Premature mortality", US_national_yearly!$D:$AM, 10, FALSE), 1)</f>
        <v>9.1607981688051135E-4</v>
      </c>
      <c r="G2" s="7">
        <f>$B2 * IFERROR(VLOOKUP("transport|NOx|Premature mortality", US_national_yearly!$D:$AM, 15, FALSE) / VLOOKUP("transport|NOx|Premature mortality", US_national_yearly!$D:$AM, 10, FALSE), 1)</f>
        <v>9.3890813332270044E-4</v>
      </c>
      <c r="H2" s="7">
        <f>$B2 * IFERROR(VLOOKUP("transport|NOx|Premature mortality", US_national_yearly!$D:$AM, 16, FALSE) / VLOOKUP("transport|NOx|Premature mortality", US_national_yearly!$D:$AM, 10, FALSE), 1)</f>
        <v>9.6173644976488986E-4</v>
      </c>
      <c r="I2" s="7">
        <f>$B2 * IFERROR(VLOOKUP("transport|NOx|Premature mortality", US_national_yearly!$D:$AM, 17, FALSE) / VLOOKUP("transport|NOx|Premature mortality", US_national_yearly!$D:$AM, 10, FALSE), 1)</f>
        <v>9.7647256105032516E-4</v>
      </c>
      <c r="J2" s="7">
        <f>$B2 * IFERROR(VLOOKUP("transport|NOx|Premature mortality", US_national_yearly!$D:$AM, 18, FALSE) / VLOOKUP("transport|NOx|Premature mortality", US_national_yearly!$D:$AM, 10, FALSE), 1)</f>
        <v>9.9120867233576057E-4</v>
      </c>
      <c r="K2" s="7">
        <f>$B2 * IFERROR(VLOOKUP("transport|NOx|Premature mortality", US_national_yearly!$D:$AM, 19, FALSE) / VLOOKUP("transport|NOx|Premature mortality", US_national_yearly!$D:$AM, 10, FALSE), 1)</f>
        <v>1.0059447836211959E-3</v>
      </c>
      <c r="L2" s="7">
        <f>$B2 * IFERROR(VLOOKUP("transport|NOx|Premature mortality", US_national_yearly!$D:$AM, 20, FALSE) / VLOOKUP("transport|NOx|Premature mortality", US_national_yearly!$D:$AM, 10, FALSE), 1)</f>
        <v>1.0206808949066312E-3</v>
      </c>
      <c r="M2" s="7">
        <f>$B2 * IFERROR(VLOOKUP("transport|NOx|Premature mortality", US_national_yearly!$D:$AM, 21, FALSE) / VLOOKUP("transport|NOx|Premature mortality", US_national_yearly!$D:$AM, 10, FALSE), 1)</f>
        <v>1.0354170061920665E-3</v>
      </c>
      <c r="N2" s="7">
        <f>$B2 * IFERROR(VLOOKUP("transport|NOx|Premature mortality", US_national_yearly!$D:$AM, 22, FALSE) / VLOOKUP("transport|NOx|Premature mortality", US_national_yearly!$D:$AM, 10, FALSE), 1)</f>
        <v>1.0463334601450403E-3</v>
      </c>
      <c r="O2" s="7">
        <f>$B2 * IFERROR(VLOOKUP("transport|NOx|Premature mortality", US_national_yearly!$D:$AM, 23, FALSE) / VLOOKUP("transport|NOx|Premature mortality", US_national_yearly!$D:$AM, 10, FALSE), 1)</f>
        <v>1.0572499140980142E-3</v>
      </c>
      <c r="P2" s="7">
        <f>$B2 * IFERROR(VLOOKUP("transport|NOx|Premature mortality", US_national_yearly!$D:$AM, 24, FALSE) / VLOOKUP("transport|NOx|Premature mortality", US_national_yearly!$D:$AM, 10, FALSE), 1)</f>
        <v>1.0681663680509881E-3</v>
      </c>
      <c r="Q2" s="7">
        <f>$B2 * IFERROR(VLOOKUP("transport|NOx|Premature mortality", US_national_yearly!$D:$AM, 25, FALSE) / VLOOKUP("transport|NOx|Premature mortality", US_national_yearly!$D:$AM, 10, FALSE), 1)</f>
        <v>1.0790828220039622E-3</v>
      </c>
      <c r="R2" s="7">
        <f>$B2 * IFERROR(VLOOKUP("transport|NOx|Premature mortality", US_national_yearly!$D:$AM, 26, FALSE) / VLOOKUP("transport|NOx|Premature mortality", US_national_yearly!$D:$AM, 10, FALSE), 1)</f>
        <v>1.089999275956936E-3</v>
      </c>
      <c r="S2" s="7">
        <f>$B2 * IFERROR(VLOOKUP("transport|NOx|Premature mortality", US_national_yearly!$D:$AM, 27, FALSE) / VLOOKUP("transport|NOx|Premature mortality", US_national_yearly!$D:$AM, 10, FALSE), 1)</f>
        <v>1.0949609142057932E-3</v>
      </c>
      <c r="T2" s="7">
        <f>$B2 * IFERROR(VLOOKUP("transport|NOx|Premature mortality", US_national_yearly!$D:$AM, 28, FALSE) / VLOOKUP("transport|NOx|Premature mortality", US_national_yearly!$D:$AM, 10, FALSE), 1)</f>
        <v>1.0999225524546505E-3</v>
      </c>
      <c r="U2" s="7">
        <f>$B2 * IFERROR(VLOOKUP("transport|NOx|Premature mortality", US_national_yearly!$D:$AM, 29, FALSE) / VLOOKUP("transport|NOx|Premature mortality", US_national_yearly!$D:$AM, 10, FALSE), 1)</f>
        <v>1.1048841907035077E-3</v>
      </c>
      <c r="V2" s="7">
        <f>$B2 * IFERROR(VLOOKUP("transport|NOx|Premature mortality", US_national_yearly!$D:$AM, 30, FALSE) / VLOOKUP("transport|NOx|Premature mortality", US_national_yearly!$D:$AM, 10, FALSE), 1)</f>
        <v>1.1098458289523646E-3</v>
      </c>
      <c r="W2" s="7">
        <f>$B2 * IFERROR(VLOOKUP("transport|NOx|Premature mortality", US_national_yearly!$D:$AM, 31, FALSE) / VLOOKUP("transport|NOx|Premature mortality", US_national_yearly!$D:$AM, 10, FALSE), 1)</f>
        <v>1.1148074672012219E-3</v>
      </c>
      <c r="X2" s="7">
        <f>$B2 * IFERROR(VLOOKUP("transport|NOx|Premature mortality", US_national_yearly!$D:$AM, 32, FALSE) / VLOOKUP("transport|NOx|Premature mortality", US_national_yearly!$D:$AM, 10, FALSE), 1)</f>
        <v>1.1149793355021591E-3</v>
      </c>
      <c r="Y2" s="7">
        <f>$B2 * IFERROR(VLOOKUP("transport|NOx|Premature mortality", US_national_yearly!$D:$AM, 33, FALSE) / VLOOKUP("transport|NOx|Premature mortality", US_national_yearly!$D:$AM, 10, FALSE), 1)</f>
        <v>1.1151512038030966E-3</v>
      </c>
      <c r="Z2" s="7">
        <f>$B2 * IFERROR(VLOOKUP("transport|NOx|Premature mortality", US_national_yearly!$D:$AM, 34, FALSE) / VLOOKUP("transport|NOx|Premature mortality", US_national_yearly!$D:$AM, 10, FALSE), 1)</f>
        <v>1.1153230721040336E-3</v>
      </c>
      <c r="AA2" s="7">
        <f>$B2 * IFERROR(VLOOKUP("transport|NOx|Premature mortality", US_national_yearly!$D:$AM, 35, FALSE) / VLOOKUP("transport|NOx|Premature mortality", US_national_yearly!$D:$AM, 10, FALSE), 1)</f>
        <v>1.1154949404049712E-3</v>
      </c>
      <c r="AB2" s="7">
        <f>$B2 * IFERROR(VLOOKUP("transport|NOx|Premature mortality", US_national_yearly!$D:$AM, 36, FALSE) / VLOOKUP("transport|NOx|Premature mortality", US_national_yearly!$D:$AM, 10, FALSE), 1)</f>
        <v>1.1156668087059084E-3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2.3948924675675921E-6</v>
      </c>
      <c r="C3" s="7">
        <f>$B3 * IFERROR(VLOOKUP("transport|NOx|Infant mortality", US_national_yearly!$D:$AM, 11, FALSE) / VLOOKUP("transport|NOx|Infant mortality", US_national_yearly!$D:$AM, 10, FALSE), 1)</f>
        <v>2.3720750142388264E-6</v>
      </c>
      <c r="D3" s="7">
        <f>$B3 * IFERROR(VLOOKUP("transport|NOx|Infant mortality", US_national_yearly!$D:$AM, 12, FALSE) / VLOOKUP("transport|NOx|Infant mortality", US_national_yearly!$D:$AM, 10, FALSE), 1)</f>
        <v>2.3492575609100601E-6</v>
      </c>
      <c r="E3" s="7">
        <f>$B3 * IFERROR(VLOOKUP("transport|NOx|Infant mortality", US_national_yearly!$D:$AM, 13, FALSE) / VLOOKUP("transport|NOx|Infant mortality", US_national_yearly!$D:$AM, 10, FALSE), 1)</f>
        <v>2.3264401075812943E-6</v>
      </c>
      <c r="F3" s="7">
        <f>$B3 * IFERROR(VLOOKUP("transport|NOx|Infant mortality", US_national_yearly!$D:$AM, 14, FALSE) / VLOOKUP("transport|NOx|Infant mortality", US_national_yearly!$D:$AM, 10, FALSE), 1)</f>
        <v>2.3036226542525281E-6</v>
      </c>
      <c r="G3" s="7">
        <f>$B3 * IFERROR(VLOOKUP("transport|NOx|Infant mortality", US_national_yearly!$D:$AM, 15, FALSE) / VLOOKUP("transport|NOx|Infant mortality", US_national_yearly!$D:$AM, 10, FALSE), 1)</f>
        <v>1.5292584730431364E-6</v>
      </c>
      <c r="H3" s="7">
        <f>$B3 * IFERROR(VLOOKUP("transport|NOx|Infant mortality", US_national_yearly!$D:$AM, 16, FALSE) / VLOOKUP("transport|NOx|Infant mortality", US_national_yearly!$D:$AM, 10, FALSE), 1)</f>
        <v>7.5489429183374449E-7</v>
      </c>
      <c r="I3" s="7">
        <f>$B3 * IFERROR(VLOOKUP("transport|NOx|Infant mortality", US_national_yearly!$D:$AM, 17, FALSE) / VLOOKUP("transport|NOx|Infant mortality", US_national_yearly!$D:$AM, 10, FALSE), 1)</f>
        <v>7.4955646841447296E-7</v>
      </c>
      <c r="J3" s="7">
        <f>$B3 * IFERROR(VLOOKUP("transport|NOx|Infant mortality", US_national_yearly!$D:$AM, 18, FALSE) / VLOOKUP("transport|NOx|Infant mortality", US_national_yearly!$D:$AM, 10, FALSE), 1)</f>
        <v>7.4421864499520123E-7</v>
      </c>
      <c r="K3" s="7">
        <f>$B3 * IFERROR(VLOOKUP("transport|NOx|Infant mortality", US_national_yearly!$D:$AM, 19, FALSE) / VLOOKUP("transport|NOx|Infant mortality", US_national_yearly!$D:$AM, 10, FALSE), 1)</f>
        <v>7.388808215759297E-7</v>
      </c>
      <c r="L3" s="7">
        <f>$B3 * IFERROR(VLOOKUP("transport|NOx|Infant mortality", US_national_yearly!$D:$AM, 20, FALSE) / VLOOKUP("transport|NOx|Infant mortality", US_national_yearly!$D:$AM, 10, FALSE), 1)</f>
        <v>7.3354299815665817E-7</v>
      </c>
      <c r="M3" s="7">
        <f>$B3 * IFERROR(VLOOKUP("transport|NOx|Infant mortality", US_national_yearly!$D:$AM, 21, FALSE) / VLOOKUP("transport|NOx|Infant mortality", US_national_yearly!$D:$AM, 10, FALSE), 1)</f>
        <v>7.2820517473738654E-7</v>
      </c>
      <c r="N3" s="7">
        <f>$B3 * IFERROR(VLOOKUP("transport|NOx|Infant mortality", US_national_yearly!$D:$AM, 22, FALSE) / VLOOKUP("transport|NOx|Infant mortality", US_national_yearly!$D:$AM, 10, FALSE), 1)</f>
        <v>7.2466215073933371E-7</v>
      </c>
      <c r="O3" s="7">
        <f>$B3 * IFERROR(VLOOKUP("transport|NOx|Infant mortality", US_national_yearly!$D:$AM, 23, FALSE) / VLOOKUP("transport|NOx|Infant mortality", US_national_yearly!$D:$AM, 10, FALSE), 1)</f>
        <v>7.2111912674128088E-7</v>
      </c>
      <c r="P3" s="7">
        <f>$B3 * IFERROR(VLOOKUP("transport|NOx|Infant mortality", US_national_yearly!$D:$AM, 24, FALSE) / VLOOKUP("transport|NOx|Infant mortality", US_national_yearly!$D:$AM, 10, FALSE), 1)</f>
        <v>7.1757610274322805E-7</v>
      </c>
      <c r="Q3" s="7">
        <f>$B3 * IFERROR(VLOOKUP("transport|NOx|Infant mortality", US_national_yearly!$D:$AM, 25, FALSE) / VLOOKUP("transport|NOx|Infant mortality", US_national_yearly!$D:$AM, 10, FALSE), 1)</f>
        <v>7.1403307874517521E-7</v>
      </c>
      <c r="R3" s="7">
        <f>$B3 * IFERROR(VLOOKUP("transport|NOx|Infant mortality", US_national_yearly!$D:$AM, 26, FALSE) / VLOOKUP("transport|NOx|Infant mortality", US_national_yearly!$D:$AM, 10, FALSE), 1)</f>
        <v>7.1049005474712238E-7</v>
      </c>
      <c r="S3" s="7">
        <f>$B3 * IFERROR(VLOOKUP("transport|NOx|Infant mortality", US_national_yearly!$D:$AM, 27, FALSE) / VLOOKUP("transport|NOx|Infant mortality", US_national_yearly!$D:$AM, 10, FALSE), 1)</f>
        <v>7.0623077647623194E-7</v>
      </c>
      <c r="T3" s="7">
        <f>$B3 * IFERROR(VLOOKUP("transport|NOx|Infant mortality", US_national_yearly!$D:$AM, 28, FALSE) / VLOOKUP("transport|NOx|Infant mortality", US_national_yearly!$D:$AM, 10, FALSE), 1)</f>
        <v>7.019714982053416E-7</v>
      </c>
      <c r="U3" s="7">
        <f>$B3 * IFERROR(VLOOKUP("transport|NOx|Infant mortality", US_national_yearly!$D:$AM, 29, FALSE) / VLOOKUP("transport|NOx|Infant mortality", US_national_yearly!$D:$AM, 10, FALSE), 1)</f>
        <v>6.9771221993445116E-7</v>
      </c>
      <c r="V3" s="7">
        <f>$B3 * IFERROR(VLOOKUP("transport|NOx|Infant mortality", US_national_yearly!$D:$AM, 30, FALSE) / VLOOKUP("transport|NOx|Infant mortality", US_national_yearly!$D:$AM, 10, FALSE), 1)</f>
        <v>6.9345294166356083E-7</v>
      </c>
      <c r="W3" s="7">
        <f>$B3 * IFERROR(VLOOKUP("transport|NOx|Infant mortality", US_national_yearly!$D:$AM, 31, FALSE) / VLOOKUP("transport|NOx|Infant mortality", US_national_yearly!$D:$AM, 10, FALSE), 1)</f>
        <v>6.8919366339267038E-7</v>
      </c>
      <c r="X3" s="7">
        <f>$B3 * IFERROR(VLOOKUP("transport|NOx|Infant mortality", US_national_yearly!$D:$AM, 32, FALSE) / VLOOKUP("transport|NOx|Infant mortality", US_national_yearly!$D:$AM, 10, FALSE), 1)</f>
        <v>6.8468288173350696E-7</v>
      </c>
      <c r="Y3" s="7">
        <f>$B3 * IFERROR(VLOOKUP("transport|NOx|Infant mortality", US_national_yearly!$D:$AM, 33, FALSE) / VLOOKUP("transport|NOx|Infant mortality", US_national_yearly!$D:$AM, 10, FALSE), 1)</f>
        <v>6.8017210007434332E-7</v>
      </c>
      <c r="Z3" s="7">
        <f>$B3 * IFERROR(VLOOKUP("transport|NOx|Infant mortality", US_national_yearly!$D:$AM, 34, FALSE) / VLOOKUP("transport|NOx|Infant mortality", US_national_yearly!$D:$AM, 10, FALSE), 1)</f>
        <v>6.7566131841517978E-7</v>
      </c>
      <c r="AA3" s="7">
        <f>$B3 * IFERROR(VLOOKUP("transport|NOx|Infant mortality", US_national_yearly!$D:$AM, 35, FALSE) / VLOOKUP("transport|NOx|Infant mortality", US_national_yearly!$D:$AM, 10, FALSE), 1)</f>
        <v>6.7115053675601614E-7</v>
      </c>
      <c r="AB3" s="7">
        <f>$B3 * IFERROR(VLOOKUP("transport|NOx|Infant mortality", US_national_yearly!$D:$AM, 36, FALSE) / VLOOKUP("transport|NOx|Infant mortality", US_national_yearly!$D:$AM, 10, FALSE), 1)</f>
        <v>6.666397550968525E-7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2.0611701881650298E-3</v>
      </c>
      <c r="C6" s="7">
        <f>$B6 * IFERROR(VLOOKUP("transport|NOx|Asthma symptoms cough", US_national_yearly!$D:$AM, 11, FALSE) / VLOOKUP("transport|NOx|Asthma symptoms cough", US_national_yearly!$D:$AM, 10, FALSE), 1)</f>
        <v>2.089349754517108E-3</v>
      </c>
      <c r="D6" s="7">
        <f>$B6 * IFERROR(VLOOKUP("transport|NOx|Asthma symptoms cough", US_national_yearly!$D:$AM, 12, FALSE) / VLOOKUP("transport|NOx|Asthma symptoms cough", US_national_yearly!$D:$AM, 10, FALSE), 1)</f>
        <v>2.1175293208691862E-3</v>
      </c>
      <c r="E6" s="7">
        <f>$B6 * IFERROR(VLOOKUP("transport|NOx|Asthma symptoms cough", US_national_yearly!$D:$AM, 13, FALSE) / VLOOKUP("transport|NOx|Asthma symptoms cough", US_national_yearly!$D:$AM, 10, FALSE), 1)</f>
        <v>2.145708887221264E-3</v>
      </c>
      <c r="F6" s="7">
        <f>$B6 * IFERROR(VLOOKUP("transport|NOx|Asthma symptoms cough", US_national_yearly!$D:$AM, 14, FALSE) / VLOOKUP("transport|NOx|Asthma symptoms cough", US_national_yearly!$D:$AM, 10, FALSE), 1)</f>
        <v>2.1738884535733422E-3</v>
      </c>
      <c r="G6" s="7">
        <f>$B6 * IFERROR(VLOOKUP("transport|NOx|Asthma symptoms cough", US_national_yearly!$D:$AM, 15, FALSE) / VLOOKUP("transport|NOx|Asthma symptoms cough", US_national_yearly!$D:$AM, 10, FALSE), 1)</f>
        <v>2.1963858994771168E-3</v>
      </c>
      <c r="H6" s="7">
        <f>$B6 * IFERROR(VLOOKUP("transport|NOx|Asthma symptoms cough", US_national_yearly!$D:$AM, 16, FALSE) / VLOOKUP("transport|NOx|Asthma symptoms cough", US_national_yearly!$D:$AM, 10, FALSE), 1)</f>
        <v>2.2188833453808919E-3</v>
      </c>
      <c r="I6" s="7">
        <f>$B6 * IFERROR(VLOOKUP("transport|NOx|Asthma symptoms cough", US_national_yearly!$D:$AM, 17, FALSE) / VLOOKUP("transport|NOx|Asthma symptoms cough", US_national_yearly!$D:$AM, 10, FALSE), 1)</f>
        <v>2.2266266446430796E-3</v>
      </c>
      <c r="J6" s="7">
        <f>$B6 * IFERROR(VLOOKUP("transport|NOx|Asthma symptoms cough", US_national_yearly!$D:$AM, 18, FALSE) / VLOOKUP("transport|NOx|Asthma symptoms cough", US_national_yearly!$D:$AM, 10, FALSE), 1)</f>
        <v>2.2343699439052673E-3</v>
      </c>
      <c r="K6" s="7">
        <f>$B6 * IFERROR(VLOOKUP("transport|NOx|Asthma symptoms cough", US_national_yearly!$D:$AM, 19, FALSE) / VLOOKUP("transport|NOx|Asthma symptoms cough", US_national_yearly!$D:$AM, 10, FALSE), 1)</f>
        <v>2.2421132431674549E-3</v>
      </c>
      <c r="L6" s="7">
        <f>$B6 * IFERROR(VLOOKUP("transport|NOx|Asthma symptoms cough", US_national_yearly!$D:$AM, 20, FALSE) / VLOOKUP("transport|NOx|Asthma symptoms cough", US_national_yearly!$D:$AM, 10, FALSE), 1)</f>
        <v>2.2498565424296426E-3</v>
      </c>
      <c r="M6" s="7">
        <f>$B6 * IFERROR(VLOOKUP("transport|NOx|Asthma symptoms cough", US_national_yearly!$D:$AM, 21, FALSE) / VLOOKUP("transport|NOx|Asthma symptoms cough", US_national_yearly!$D:$AM, 10, FALSE), 1)</f>
        <v>2.2575998416918303E-3</v>
      </c>
      <c r="N6" s="7">
        <f>$B6 * IFERROR(VLOOKUP("transport|NOx|Asthma symptoms cough", US_national_yearly!$D:$AM, 22, FALSE) / VLOOKUP("transport|NOx|Asthma symptoms cough", US_national_yearly!$D:$AM, 10, FALSE), 1)</f>
        <v>2.2665787738086907E-3</v>
      </c>
      <c r="O6" s="7">
        <f>$B6 * IFERROR(VLOOKUP("transport|NOx|Asthma symptoms cough", US_national_yearly!$D:$AM, 23, FALSE) / VLOOKUP("transport|NOx|Asthma symptoms cough", US_national_yearly!$D:$AM, 10, FALSE), 1)</f>
        <v>2.2755577059255512E-3</v>
      </c>
      <c r="P6" s="7">
        <f>$B6 * IFERROR(VLOOKUP("transport|NOx|Asthma symptoms cough", US_national_yearly!$D:$AM, 24, FALSE) / VLOOKUP("transport|NOx|Asthma symptoms cough", US_national_yearly!$D:$AM, 10, FALSE), 1)</f>
        <v>2.2845366380424116E-3</v>
      </c>
      <c r="Q6" s="7">
        <f>$B6 * IFERROR(VLOOKUP("transport|NOx|Asthma symptoms cough", US_national_yearly!$D:$AM, 25, FALSE) / VLOOKUP("transport|NOx|Asthma symptoms cough", US_national_yearly!$D:$AM, 10, FALSE), 1)</f>
        <v>2.2935155701592725E-3</v>
      </c>
      <c r="R6" s="7">
        <f>$B6 * IFERROR(VLOOKUP("transport|NOx|Asthma symptoms cough", US_national_yearly!$D:$AM, 26, FALSE) / VLOOKUP("transport|NOx|Asthma symptoms cough", US_national_yearly!$D:$AM, 10, FALSE), 1)</f>
        <v>2.302494502276133E-3</v>
      </c>
      <c r="S6" s="7">
        <f>$B6 * IFERROR(VLOOKUP("transport|NOx|Asthma symptoms cough", US_national_yearly!$D:$AM, 27, FALSE) / VLOOKUP("transport|NOx|Asthma symptoms cough", US_national_yearly!$D:$AM, 10, FALSE), 1)</f>
        <v>2.314223847389441E-3</v>
      </c>
      <c r="T6" s="7">
        <f>$B6 * IFERROR(VLOOKUP("transport|NOx|Asthma symptoms cough", US_national_yearly!$D:$AM, 28, FALSE) / VLOOKUP("transport|NOx|Asthma symptoms cough", US_national_yearly!$D:$AM, 10, FALSE), 1)</f>
        <v>2.3259531925027489E-3</v>
      </c>
      <c r="U6" s="7">
        <f>$B6 * IFERROR(VLOOKUP("transport|NOx|Asthma symptoms cough", US_national_yearly!$D:$AM, 29, FALSE) / VLOOKUP("transport|NOx|Asthma symptoms cough", US_national_yearly!$D:$AM, 10, FALSE), 1)</f>
        <v>2.3376825376160561E-3</v>
      </c>
      <c r="V6" s="7">
        <f>$B6 * IFERROR(VLOOKUP("transport|NOx|Asthma symptoms cough", US_national_yearly!$D:$AM, 30, FALSE) / VLOOKUP("transport|NOx|Asthma symptoms cough", US_national_yearly!$D:$AM, 10, FALSE), 1)</f>
        <v>2.3494118827293645E-3</v>
      </c>
      <c r="W6" s="7">
        <f>$B6 * IFERROR(VLOOKUP("transport|NOx|Asthma symptoms cough", US_national_yearly!$D:$AM, 31, FALSE) / VLOOKUP("transport|NOx|Asthma symptoms cough", US_national_yearly!$D:$AM, 10, FALSE), 1)</f>
        <v>2.3611412278426724E-3</v>
      </c>
      <c r="X6" s="7">
        <f>$B6 * IFERROR(VLOOKUP("transport|NOx|Asthma symptoms cough", US_national_yearly!$D:$AM, 32, FALSE) / VLOOKUP("transport|NOx|Asthma symptoms cough", US_national_yearly!$D:$AM, 10, FALSE), 1)</f>
        <v>2.3720394747903119E-3</v>
      </c>
      <c r="Y6" s="7">
        <f>$B6 * IFERROR(VLOOKUP("transport|NOx|Asthma symptoms cough", US_national_yearly!$D:$AM, 33, FALSE) / VLOOKUP("transport|NOx|Asthma symptoms cough", US_national_yearly!$D:$AM, 10, FALSE), 1)</f>
        <v>2.3829377217379519E-3</v>
      </c>
      <c r="Z6" s="7">
        <f>$B6 * IFERROR(VLOOKUP("transport|NOx|Asthma symptoms cough", US_national_yearly!$D:$AM, 34, FALSE) / VLOOKUP("transport|NOx|Asthma symptoms cough", US_national_yearly!$D:$AM, 10, FALSE), 1)</f>
        <v>2.3938359686855913E-3</v>
      </c>
      <c r="AA6" s="7">
        <f>$B6 * IFERROR(VLOOKUP("transport|NOx|Asthma symptoms cough", US_national_yearly!$D:$AM, 35, FALSE) / VLOOKUP("transport|NOx|Asthma symptoms cough", US_national_yearly!$D:$AM, 10, FALSE), 1)</f>
        <v>2.4047342156332313E-3</v>
      </c>
      <c r="AB6" s="7">
        <f>$B6 * IFERROR(VLOOKUP("transport|NOx|Asthma symptoms cough", US_national_yearly!$D:$AM, 36, FALSE) / VLOOKUP("transport|NOx|Asthma symptoms cough", US_national_yearly!$D:$AM, 10, FALSE), 1)</f>
        <v>2.4156324625808716E-3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2.7755900248214705E-3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2.813536878341153E-3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2.8514837318608347E-3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2.8894305853805172E-3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2.9273774389001993E-3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2.9576726986948157E-3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2.9879679584894321E-3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2.9983951537653239E-3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3.0088223490412156E-3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3.0192495443171073E-3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3.0296767395929991E-3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3.0401039348688908E-3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3.0521950443169791E-3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3.0642861537650674E-3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3.0763772632131552E-3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3.0884683726612435E-3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3.1005594821093318E-3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3.1163543220826219E-3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3.1321491620559128E-3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3.1479440020292029E-3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3.1637388420024922E-3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3.1795336819757823E-3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3.1942093577915311E-3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3.20888503360728E-3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3.2235607094230297E-3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3.2382363852387782E-3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3.2529120610545271E-3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4.2408975836748138E-3</v>
      </c>
      <c r="C8" s="7">
        <f>$B8 * IFERROR(VLOOKUP("transport|NOx|Asthma symptoms wheeze", US_national_yearly!$D:$AM, 11, FALSE) / VLOOKUP("transport|NOx|Asthma symptoms wheeze", US_national_yearly!$D:$AM, 10, FALSE), 1)</f>
        <v>4.2988775873166853E-3</v>
      </c>
      <c r="D8" s="7">
        <f>$B8 * IFERROR(VLOOKUP("transport|NOx|Asthma symptoms wheeze", US_national_yearly!$D:$AM, 12, FALSE) / VLOOKUP("transport|NOx|Asthma symptoms wheeze", US_national_yearly!$D:$AM, 10, FALSE), 1)</f>
        <v>4.3568575909585586E-3</v>
      </c>
      <c r="E8" s="7">
        <f>$B8 * IFERROR(VLOOKUP("transport|NOx|Asthma symptoms wheeze", US_national_yearly!$D:$AM, 13, FALSE) / VLOOKUP("transport|NOx|Asthma symptoms wheeze", US_national_yearly!$D:$AM, 10, FALSE), 1)</f>
        <v>4.414837594600431E-3</v>
      </c>
      <c r="F8" s="7">
        <f>$B8 * IFERROR(VLOOKUP("transport|NOx|Asthma symptoms wheeze", US_national_yearly!$D:$AM, 14, FALSE) / VLOOKUP("transport|NOx|Asthma symptoms wheeze", US_national_yearly!$D:$AM, 10, FALSE), 1)</f>
        <v>4.4728175982423025E-3</v>
      </c>
      <c r="G8" s="7">
        <f>$B8 * IFERROR(VLOOKUP("transport|NOx|Asthma symptoms wheeze", US_national_yearly!$D:$AM, 15, FALSE) / VLOOKUP("transport|NOx|Asthma symptoms wheeze", US_national_yearly!$D:$AM, 10, FALSE), 1)</f>
        <v>4.5191065290266907E-3</v>
      </c>
      <c r="H8" s="7">
        <f>$B8 * IFERROR(VLOOKUP("transport|NOx|Asthma symptoms wheeze", US_national_yearly!$D:$AM, 16, FALSE) / VLOOKUP("transport|NOx|Asthma symptoms wheeze", US_national_yearly!$D:$AM, 10, FALSE), 1)</f>
        <v>4.5653954598110797E-3</v>
      </c>
      <c r="I8" s="7">
        <f>$B8 * IFERROR(VLOOKUP("transport|NOx|Asthma symptoms wheeze", US_national_yearly!$D:$AM, 17, FALSE) / VLOOKUP("transport|NOx|Asthma symptoms wheeze", US_national_yearly!$D:$AM, 10, FALSE), 1)</f>
        <v>4.5813274481108649E-3</v>
      </c>
      <c r="J8" s="7">
        <f>$B8 * IFERROR(VLOOKUP("transport|NOx|Asthma symptoms wheeze", US_national_yearly!$D:$AM, 18, FALSE) / VLOOKUP("transport|NOx|Asthma symptoms wheeze", US_national_yearly!$D:$AM, 10, FALSE), 1)</f>
        <v>4.5972594364106509E-3</v>
      </c>
      <c r="K8" s="7">
        <f>$B8 * IFERROR(VLOOKUP("transport|NOx|Asthma symptoms wheeze", US_national_yearly!$D:$AM, 19, FALSE) / VLOOKUP("transport|NOx|Asthma symptoms wheeze", US_national_yearly!$D:$AM, 10, FALSE), 1)</f>
        <v>4.6131914247104352E-3</v>
      </c>
      <c r="L8" s="7">
        <f>$B8 * IFERROR(VLOOKUP("transport|NOx|Asthma symptoms wheeze", US_national_yearly!$D:$AM, 20, FALSE) / VLOOKUP("transport|NOx|Asthma symptoms wheeze", US_national_yearly!$D:$AM, 10, FALSE), 1)</f>
        <v>4.6291234130102204E-3</v>
      </c>
      <c r="M8" s="7">
        <f>$B8 * IFERROR(VLOOKUP("transport|NOx|Asthma symptoms wheeze", US_national_yearly!$D:$AM, 21, FALSE) / VLOOKUP("transport|NOx|Asthma symptoms wheeze", US_national_yearly!$D:$AM, 10, FALSE), 1)</f>
        <v>4.6450554013100056E-3</v>
      </c>
      <c r="N8" s="7">
        <f>$B8 * IFERROR(VLOOKUP("transport|NOx|Asthma symptoms wheeze", US_national_yearly!$D:$AM, 22, FALSE) / VLOOKUP("transport|NOx|Asthma symptoms wheeze", US_national_yearly!$D:$AM, 10, FALSE), 1)</f>
        <v>4.6635297281626461E-3</v>
      </c>
      <c r="O8" s="7">
        <f>$B8 * IFERROR(VLOOKUP("transport|NOx|Asthma symptoms wheeze", US_national_yearly!$D:$AM, 23, FALSE) / VLOOKUP("transport|NOx|Asthma symptoms wheeze", US_national_yearly!$D:$AM, 10, FALSE), 1)</f>
        <v>4.6820040550152875E-3</v>
      </c>
      <c r="P8" s="7">
        <f>$B8 * IFERROR(VLOOKUP("transport|NOx|Asthma symptoms wheeze", US_national_yearly!$D:$AM, 24, FALSE) / VLOOKUP("transport|NOx|Asthma symptoms wheeze", US_national_yearly!$D:$AM, 10, FALSE), 1)</f>
        <v>4.7004783818679272E-3</v>
      </c>
      <c r="Q8" s="7">
        <f>$B8 * IFERROR(VLOOKUP("transport|NOx|Asthma symptoms wheeze", US_national_yearly!$D:$AM, 25, FALSE) / VLOOKUP("transport|NOx|Asthma symptoms wheeze", US_national_yearly!$D:$AM, 10, FALSE), 1)</f>
        <v>4.7189527087205686E-3</v>
      </c>
      <c r="R8" s="7">
        <f>$B8 * IFERROR(VLOOKUP("transport|NOx|Asthma symptoms wheeze", US_national_yearly!$D:$AM, 26, FALSE) / VLOOKUP("transport|NOx|Asthma symptoms wheeze", US_national_yearly!$D:$AM, 10, FALSE), 1)</f>
        <v>4.7374270355732091E-3</v>
      </c>
      <c r="S8" s="7">
        <f>$B8 * IFERROR(VLOOKUP("transport|NOx|Asthma symptoms wheeze", US_national_yearly!$D:$AM, 27, FALSE) / VLOOKUP("transport|NOx|Asthma symptoms wheeze", US_national_yearly!$D:$AM, 10, FALSE), 1)</f>
        <v>4.7615603904579635E-3</v>
      </c>
      <c r="T8" s="7">
        <f>$B8 * IFERROR(VLOOKUP("transport|NOx|Asthma symptoms wheeze", US_national_yearly!$D:$AM, 28, FALSE) / VLOOKUP("transport|NOx|Asthma symptoms wheeze", US_national_yearly!$D:$AM, 10, FALSE), 1)</f>
        <v>4.7856937453427178E-3</v>
      </c>
      <c r="U8" s="7">
        <f>$B8 * IFERROR(VLOOKUP("transport|NOx|Asthma symptoms wheeze", US_national_yearly!$D:$AM, 29, FALSE) / VLOOKUP("transport|NOx|Asthma symptoms wheeze", US_national_yearly!$D:$AM, 10, FALSE), 1)</f>
        <v>4.8098271002274722E-3</v>
      </c>
      <c r="V8" s="7">
        <f>$B8 * IFERROR(VLOOKUP("transport|NOx|Asthma symptoms wheeze", US_national_yearly!$D:$AM, 30, FALSE) / VLOOKUP("transport|NOx|Asthma symptoms wheeze", US_national_yearly!$D:$AM, 10, FALSE), 1)</f>
        <v>4.8339604551122274E-3</v>
      </c>
      <c r="W8" s="7">
        <f>$B8 * IFERROR(VLOOKUP("transport|NOx|Asthma symptoms wheeze", US_national_yearly!$D:$AM, 31, FALSE) / VLOOKUP("transport|NOx|Asthma symptoms wheeze", US_national_yearly!$D:$AM, 10, FALSE), 1)</f>
        <v>4.8580938099969809E-3</v>
      </c>
      <c r="X8" s="7">
        <f>$B8 * IFERROR(VLOOKUP("transport|NOx|Asthma symptoms wheeze", US_national_yearly!$D:$AM, 32, FALSE) / VLOOKUP("transport|NOx|Asthma symptoms wheeze", US_national_yearly!$D:$AM, 10, FALSE), 1)</f>
        <v>4.8805171642916133E-3</v>
      </c>
      <c r="Y8" s="7">
        <f>$B8 * IFERROR(VLOOKUP("transport|NOx|Asthma symptoms wheeze", US_national_yearly!$D:$AM, 33, FALSE) / VLOOKUP("transport|NOx|Asthma symptoms wheeze", US_national_yearly!$D:$AM, 10, FALSE), 1)</f>
        <v>4.9029405185862449E-3</v>
      </c>
      <c r="Z8" s="7">
        <f>$B8 * IFERROR(VLOOKUP("transport|NOx|Asthma symptoms wheeze", US_national_yearly!$D:$AM, 34, FALSE) / VLOOKUP("transport|NOx|Asthma symptoms wheeze", US_national_yearly!$D:$AM, 10, FALSE), 1)</f>
        <v>4.9253638728808781E-3</v>
      </c>
      <c r="AA8" s="7">
        <f>$B8 * IFERROR(VLOOKUP("transport|NOx|Asthma symptoms wheeze", US_national_yearly!$D:$AM, 35, FALSE) / VLOOKUP("transport|NOx|Asthma symptoms wheeze", US_national_yearly!$D:$AM, 10, FALSE), 1)</f>
        <v>4.9477872271755097E-3</v>
      </c>
      <c r="AB8" s="7">
        <f>$B8 * IFERROR(VLOOKUP("transport|NOx|Asthma symptoms wheeze", US_national_yearly!$D:$AM, 36, FALSE) / VLOOKUP("transport|NOx|Asthma symptoms wheeze", US_national_yearly!$D:$AM, 10, FALSE), 1)</f>
        <v>4.9702105814701421E-3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1.7818837426492542E-4</v>
      </c>
      <c r="C12" s="7">
        <f>$B12 * IFERROR(VLOOKUP("transport|NOx|Respiratory hospital admissions", US_national_yearly!$D:$AM, 11, FALSE) / VLOOKUP("transport|NOx|Respiratory hospital admissions", US_national_yearly!$D:$AM, 10, FALSE), 1)</f>
        <v>1.8263322351486403E-4</v>
      </c>
      <c r="D12" s="7">
        <f>$B12 * IFERROR(VLOOKUP("transport|NOx|Respiratory hospital admissions", US_national_yearly!$D:$AM, 12, FALSE) / VLOOKUP("transport|NOx|Respiratory hospital admissions", US_national_yearly!$D:$AM, 10, FALSE), 1)</f>
        <v>1.8707807276480267E-4</v>
      </c>
      <c r="E12" s="7">
        <f>$B12 * IFERROR(VLOOKUP("transport|NOx|Respiratory hospital admissions", US_national_yearly!$D:$AM, 13, FALSE) / VLOOKUP("transport|NOx|Respiratory hospital admissions", US_national_yearly!$D:$AM, 10, FALSE), 1)</f>
        <v>1.9152292201474132E-4</v>
      </c>
      <c r="F12" s="7">
        <f>$B12 * IFERROR(VLOOKUP("transport|NOx|Respiratory hospital admissions", US_national_yearly!$D:$AM, 14, FALSE) / VLOOKUP("transport|NOx|Respiratory hospital admissions", US_national_yearly!$D:$AM, 10, FALSE), 1)</f>
        <v>1.9596777126467996E-4</v>
      </c>
      <c r="G12" s="7">
        <f>$B12 * IFERROR(VLOOKUP("transport|NOx|Respiratory hospital admissions", US_national_yearly!$D:$AM, 15, FALSE) / VLOOKUP("transport|NOx|Respiratory hospital admissions", US_national_yearly!$D:$AM, 10, FALSE), 1)</f>
        <v>2.0021719843228155E-4</v>
      </c>
      <c r="H12" s="7">
        <f>$B12 * IFERROR(VLOOKUP("transport|NOx|Respiratory hospital admissions", US_national_yearly!$D:$AM, 16, FALSE) / VLOOKUP("transport|NOx|Respiratory hospital admissions", US_national_yearly!$D:$AM, 10, FALSE), 1)</f>
        <v>2.0446662559988311E-4</v>
      </c>
      <c r="I12" s="7">
        <f>$B12 * IFERROR(VLOOKUP("transport|NOx|Respiratory hospital admissions", US_national_yearly!$D:$AM, 17, FALSE) / VLOOKUP("transport|NOx|Respiratory hospital admissions", US_national_yearly!$D:$AM, 10, FALSE), 1)</f>
        <v>2.080744766245586E-4</v>
      </c>
      <c r="J12" s="7">
        <f>$B12 * IFERROR(VLOOKUP("transport|NOx|Respiratory hospital admissions", US_national_yearly!$D:$AM, 18, FALSE) / VLOOKUP("transport|NOx|Respiratory hospital admissions", US_national_yearly!$D:$AM, 10, FALSE), 1)</f>
        <v>2.1168232764923404E-4</v>
      </c>
      <c r="K12" s="7">
        <f>$B12 * IFERROR(VLOOKUP("transport|NOx|Respiratory hospital admissions", US_national_yearly!$D:$AM, 19, FALSE) / VLOOKUP("transport|NOx|Respiratory hospital admissions", US_national_yearly!$D:$AM, 10, FALSE), 1)</f>
        <v>2.152901786739095E-4</v>
      </c>
      <c r="L12" s="7">
        <f>$B12 * IFERROR(VLOOKUP("transport|NOx|Respiratory hospital admissions", US_national_yearly!$D:$AM, 20, FALSE) / VLOOKUP("transport|NOx|Respiratory hospital admissions", US_national_yearly!$D:$AM, 10, FALSE), 1)</f>
        <v>2.1889802969858499E-4</v>
      </c>
      <c r="M12" s="7">
        <f>$B12 * IFERROR(VLOOKUP("transport|NOx|Respiratory hospital admissions", US_national_yearly!$D:$AM, 21, FALSE) / VLOOKUP("transport|NOx|Respiratory hospital admissions", US_national_yearly!$D:$AM, 10, FALSE), 1)</f>
        <v>2.2250588072326045E-4</v>
      </c>
      <c r="N12" s="7">
        <f>$B12 * IFERROR(VLOOKUP("transport|NOx|Respiratory hospital admissions", US_national_yearly!$D:$AM, 22, FALSE) / VLOOKUP("transport|NOx|Respiratory hospital admissions", US_national_yearly!$D:$AM, 10, FALSE), 1)</f>
        <v>2.2491779409102388E-4</v>
      </c>
      <c r="O12" s="7">
        <f>$B12 * IFERROR(VLOOKUP("transport|NOx|Respiratory hospital admissions", US_national_yearly!$D:$AM, 23, FALSE) / VLOOKUP("transport|NOx|Respiratory hospital admissions", US_national_yearly!$D:$AM, 10, FALSE), 1)</f>
        <v>2.2732970745878743E-4</v>
      </c>
      <c r="P12" s="7">
        <f>$B12 * IFERROR(VLOOKUP("transport|NOx|Respiratory hospital admissions", US_national_yearly!$D:$AM, 24, FALSE) / VLOOKUP("transport|NOx|Respiratory hospital admissions", US_national_yearly!$D:$AM, 10, FALSE), 1)</f>
        <v>2.2974162082655089E-4</v>
      </c>
      <c r="Q12" s="7">
        <f>$B12 * IFERROR(VLOOKUP("transport|NOx|Respiratory hospital admissions", US_national_yearly!$D:$AM, 25, FALSE) / VLOOKUP("transport|NOx|Respiratory hospital admissions", US_national_yearly!$D:$AM, 10, FALSE), 1)</f>
        <v>2.3215353419431443E-4</v>
      </c>
      <c r="R12" s="7">
        <f>$B12 * IFERROR(VLOOKUP("transport|NOx|Respiratory hospital admissions", US_national_yearly!$D:$AM, 26, FALSE) / VLOOKUP("transport|NOx|Respiratory hospital admissions", US_national_yearly!$D:$AM, 10, FALSE), 1)</f>
        <v>2.3456544756207789E-4</v>
      </c>
      <c r="S12" s="7">
        <f>$B12 * IFERROR(VLOOKUP("transport|NOx|Respiratory hospital admissions", US_national_yearly!$D:$AM, 27, FALSE) / VLOOKUP("transport|NOx|Respiratory hospital admissions", US_national_yearly!$D:$AM, 10, FALSE), 1)</f>
        <v>2.3585768538924364E-4</v>
      </c>
      <c r="T12" s="7">
        <f>$B12 * IFERROR(VLOOKUP("transport|NOx|Respiratory hospital admissions", US_national_yearly!$D:$AM, 28, FALSE) / VLOOKUP("transport|NOx|Respiratory hospital admissions", US_national_yearly!$D:$AM, 10, FALSE), 1)</f>
        <v>2.3714992321640936E-4</v>
      </c>
      <c r="U12" s="7">
        <f>$B12 * IFERROR(VLOOKUP("transport|NOx|Respiratory hospital admissions", US_national_yearly!$D:$AM, 29, FALSE) / VLOOKUP("transport|NOx|Respiratory hospital admissions", US_national_yearly!$D:$AM, 10, FALSE), 1)</f>
        <v>2.384421610435751E-4</v>
      </c>
      <c r="V12" s="7">
        <f>$B12 * IFERROR(VLOOKUP("transport|NOx|Respiratory hospital admissions", US_national_yearly!$D:$AM, 30, FALSE) / VLOOKUP("transport|NOx|Respiratory hospital admissions", US_national_yearly!$D:$AM, 10, FALSE), 1)</f>
        <v>2.3973439887074079E-4</v>
      </c>
      <c r="W12" s="7">
        <f>$B12 * IFERROR(VLOOKUP("transport|NOx|Respiratory hospital admissions", US_national_yearly!$D:$AM, 31, FALSE) / VLOOKUP("transport|NOx|Respiratory hospital admissions", US_national_yearly!$D:$AM, 10, FALSE), 1)</f>
        <v>2.4102663669790656E-4</v>
      </c>
      <c r="X12" s="7">
        <f>$B12 * IFERROR(VLOOKUP("transport|NOx|Respiratory hospital admissions", US_national_yearly!$D:$AM, 32, FALSE) / VLOOKUP("transport|NOx|Respiratory hospital admissions", US_national_yearly!$D:$AM, 10, FALSE), 1)</f>
        <v>2.4190971336977808E-4</v>
      </c>
      <c r="Y12" s="7">
        <f>$B12 * IFERROR(VLOOKUP("transport|NOx|Respiratory hospital admissions", US_national_yearly!$D:$AM, 33, FALSE) / VLOOKUP("transport|NOx|Respiratory hospital admissions", US_national_yearly!$D:$AM, 10, FALSE), 1)</f>
        <v>2.4279279004164962E-4</v>
      </c>
      <c r="Z12" s="7">
        <f>$B12 * IFERROR(VLOOKUP("transport|NOx|Respiratory hospital admissions", US_national_yearly!$D:$AM, 34, FALSE) / VLOOKUP("transport|NOx|Respiratory hospital admissions", US_national_yearly!$D:$AM, 10, FALSE), 1)</f>
        <v>2.4367586671352116E-4</v>
      </c>
      <c r="AA12" s="7">
        <f>$B12 * IFERROR(VLOOKUP("transport|NOx|Respiratory hospital admissions", US_national_yearly!$D:$AM, 35, FALSE) / VLOOKUP("transport|NOx|Respiratory hospital admissions", US_national_yearly!$D:$AM, 10, FALSE), 1)</f>
        <v>2.4455894338539273E-4</v>
      </c>
      <c r="AB12" s="7">
        <f>$B12 * IFERROR(VLOOKUP("transport|NOx|Respiratory hospital admissions", US_national_yearly!$D:$AM, 36, FALSE) / VLOOKUP("transport|NOx|Respiratory hospital admissions", US_national_yearly!$D:$AM, 10, FALSE), 1)</f>
        <v>2.4544202005726424E-4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1.093262223114312E-3</v>
      </c>
      <c r="C13" s="7">
        <f>$B13 * IFERROR(VLOOKUP("transport|NOx|Non-fatal heart attacks", US_national_yearly!$D:$AM, 11, FALSE) / VLOOKUP("transport|NOx|Non-fatal heart attacks", US_national_yearly!$D:$AM, 10, FALSE), 1)</f>
        <v>1.1245176268476756E-3</v>
      </c>
      <c r="D13" s="7">
        <f>$B13 * IFERROR(VLOOKUP("transport|NOx|Non-fatal heart attacks", US_national_yearly!$D:$AM, 12, FALSE) / VLOOKUP("transport|NOx|Non-fatal heart attacks", US_national_yearly!$D:$AM, 10, FALSE), 1)</f>
        <v>1.1557730305810391E-3</v>
      </c>
      <c r="E13" s="7">
        <f>$B13 * IFERROR(VLOOKUP("transport|NOx|Non-fatal heart attacks", US_national_yearly!$D:$AM, 13, FALSE) / VLOOKUP("transport|NOx|Non-fatal heart attacks", US_national_yearly!$D:$AM, 10, FALSE), 1)</f>
        <v>1.1870284343144025E-3</v>
      </c>
      <c r="F13" s="7">
        <f>$B13 * IFERROR(VLOOKUP("transport|NOx|Non-fatal heart attacks", US_national_yearly!$D:$AM, 14, FALSE) / VLOOKUP("transport|NOx|Non-fatal heart attacks", US_national_yearly!$D:$AM, 10, FALSE), 1)</f>
        <v>1.2182838380477661E-3</v>
      </c>
      <c r="G13" s="7">
        <f>$B13 * IFERROR(VLOOKUP("transport|NOx|Non-fatal heart attacks", US_national_yearly!$D:$AM, 15, FALSE) / VLOOKUP("transport|NOx|Non-fatal heart attacks", US_national_yearly!$D:$AM, 10, FALSE), 1)</f>
        <v>1.2474919478770161E-3</v>
      </c>
      <c r="H13" s="7">
        <f>$B13 * IFERROR(VLOOKUP("transport|NOx|Non-fatal heart attacks", US_national_yearly!$D:$AM, 16, FALSE) / VLOOKUP("transport|NOx|Non-fatal heart attacks", US_national_yearly!$D:$AM, 10, FALSE), 1)</f>
        <v>1.2767000577062662E-3</v>
      </c>
      <c r="I13" s="7">
        <f>$B13 * IFERROR(VLOOKUP("transport|NOx|Non-fatal heart attacks", US_national_yearly!$D:$AM, 17, FALSE) / VLOOKUP("transport|NOx|Non-fatal heart attacks", US_national_yearly!$D:$AM, 10, FALSE), 1)</f>
        <v>1.2997273135008827E-3</v>
      </c>
      <c r="J13" s="7">
        <f>$B13 * IFERROR(VLOOKUP("transport|NOx|Non-fatal heart attacks", US_national_yearly!$D:$AM, 18, FALSE) / VLOOKUP("transport|NOx|Non-fatal heart attacks", US_national_yearly!$D:$AM, 10, FALSE), 1)</f>
        <v>1.3227545692954994E-3</v>
      </c>
      <c r="K13" s="7">
        <f>$B13 * IFERROR(VLOOKUP("transport|NOx|Non-fatal heart attacks", US_national_yearly!$D:$AM, 19, FALSE) / VLOOKUP("transport|NOx|Non-fatal heart attacks", US_national_yearly!$D:$AM, 10, FALSE), 1)</f>
        <v>1.3457818250901153E-3</v>
      </c>
      <c r="L13" s="7">
        <f>$B13 * IFERROR(VLOOKUP("transport|NOx|Non-fatal heart attacks", US_national_yearly!$D:$AM, 20, FALSE) / VLOOKUP("transport|NOx|Non-fatal heart attacks", US_national_yearly!$D:$AM, 10, FALSE), 1)</f>
        <v>1.3688090808847329E-3</v>
      </c>
      <c r="M13" s="7">
        <f>$B13 * IFERROR(VLOOKUP("transport|NOx|Non-fatal heart attacks", US_national_yearly!$D:$AM, 21, FALSE) / VLOOKUP("transport|NOx|Non-fatal heart attacks", US_national_yearly!$D:$AM, 10, FALSE), 1)</f>
        <v>1.3918363366793491E-3</v>
      </c>
      <c r="N13" s="7">
        <f>$B13 * IFERROR(VLOOKUP("transport|NOx|Non-fatal heart attacks", US_national_yearly!$D:$AM, 22, FALSE) / VLOOKUP("transport|NOx|Non-fatal heart attacks", US_national_yearly!$D:$AM, 10, FALSE), 1)</f>
        <v>1.4056902321032533E-3</v>
      </c>
      <c r="O13" s="7">
        <f>$B13 * IFERROR(VLOOKUP("transport|NOx|Non-fatal heart attacks", US_national_yearly!$D:$AM, 23, FALSE) / VLOOKUP("transport|NOx|Non-fatal heart attacks", US_national_yearly!$D:$AM, 10, FALSE), 1)</f>
        <v>1.4195441275271577E-3</v>
      </c>
      <c r="P13" s="7">
        <f>$B13 * IFERROR(VLOOKUP("transport|NOx|Non-fatal heart attacks", US_national_yearly!$D:$AM, 24, FALSE) / VLOOKUP("transport|NOx|Non-fatal heart attacks", US_national_yearly!$D:$AM, 10, FALSE), 1)</f>
        <v>1.4333980229510616E-3</v>
      </c>
      <c r="Q13" s="7">
        <f>$B13 * IFERROR(VLOOKUP("transport|NOx|Non-fatal heart attacks", US_national_yearly!$D:$AM, 25, FALSE) / VLOOKUP("transport|NOx|Non-fatal heart attacks", US_national_yearly!$D:$AM, 10, FALSE), 1)</f>
        <v>1.4472519183749662E-3</v>
      </c>
      <c r="R13" s="7">
        <f>$B13 * IFERROR(VLOOKUP("transport|NOx|Non-fatal heart attacks", US_national_yearly!$D:$AM, 26, FALSE) / VLOOKUP("transport|NOx|Non-fatal heart attacks", US_national_yearly!$D:$AM, 10, FALSE), 1)</f>
        <v>1.4611058137988704E-3</v>
      </c>
      <c r="S13" s="7">
        <f>$B13 * IFERROR(VLOOKUP("transport|NOx|Non-fatal heart attacks", US_national_yearly!$D:$AM, 27, FALSE) / VLOOKUP("transport|NOx|Non-fatal heart attacks", US_national_yearly!$D:$AM, 10, FALSE), 1)</f>
        <v>1.4673900365818479E-3</v>
      </c>
      <c r="T13" s="7">
        <f>$B13 * IFERROR(VLOOKUP("transport|NOx|Non-fatal heart attacks", US_national_yearly!$D:$AM, 28, FALSE) / VLOOKUP("transport|NOx|Non-fatal heart attacks", US_national_yearly!$D:$AM, 10, FALSE), 1)</f>
        <v>1.4736742593648255E-3</v>
      </c>
      <c r="U13" s="7">
        <f>$B13 * IFERROR(VLOOKUP("transport|NOx|Non-fatal heart attacks", US_national_yearly!$D:$AM, 29, FALSE) / VLOOKUP("transport|NOx|Non-fatal heart attacks", US_national_yearly!$D:$AM, 10, FALSE), 1)</f>
        <v>1.479958482147803E-3</v>
      </c>
      <c r="V13" s="7">
        <f>$B13 * IFERROR(VLOOKUP("transport|NOx|Non-fatal heart attacks", US_national_yearly!$D:$AM, 30, FALSE) / VLOOKUP("transport|NOx|Non-fatal heart attacks", US_national_yearly!$D:$AM, 10, FALSE), 1)</f>
        <v>1.4862427049307804E-3</v>
      </c>
      <c r="W13" s="7">
        <f>$B13 * IFERROR(VLOOKUP("transport|NOx|Non-fatal heart attacks", US_national_yearly!$D:$AM, 31, FALSE) / VLOOKUP("transport|NOx|Non-fatal heart attacks", US_national_yearly!$D:$AM, 10, FALSE), 1)</f>
        <v>1.4925269277137581E-3</v>
      </c>
      <c r="X13" s="7">
        <f>$B13 * IFERROR(VLOOKUP("transport|NOx|Non-fatal heart attacks", US_national_yearly!$D:$AM, 32, FALSE) / VLOOKUP("transport|NOx|Non-fatal heart attacks", US_national_yearly!$D:$AM, 10, FALSE), 1)</f>
        <v>1.4967263760419008E-3</v>
      </c>
      <c r="Y13" s="7">
        <f>$B13 * IFERROR(VLOOKUP("transport|NOx|Non-fatal heart attacks", US_national_yearly!$D:$AM, 33, FALSE) / VLOOKUP("transport|NOx|Non-fatal heart attacks", US_national_yearly!$D:$AM, 10, FALSE), 1)</f>
        <v>1.500925824370044E-3</v>
      </c>
      <c r="Z13" s="7">
        <f>$B13 * IFERROR(VLOOKUP("transport|NOx|Non-fatal heart attacks", US_national_yearly!$D:$AM, 34, FALSE) / VLOOKUP("transport|NOx|Non-fatal heart attacks", US_national_yearly!$D:$AM, 10, FALSE), 1)</f>
        <v>1.5051252726981867E-3</v>
      </c>
      <c r="AA13" s="7">
        <f>$B13 * IFERROR(VLOOKUP("transport|NOx|Non-fatal heart attacks", US_national_yearly!$D:$AM, 35, FALSE) / VLOOKUP("transport|NOx|Non-fatal heart attacks", US_national_yearly!$D:$AM, 10, FALSE), 1)</f>
        <v>1.5093247210263294E-3</v>
      </c>
      <c r="AB13" s="7">
        <f>$B13 * IFERROR(VLOOKUP("transport|NOx|Non-fatal heart attacks", US_national_yearly!$D:$AM, 36, FALSE) / VLOOKUP("transport|NOx|Non-fatal heart attacks", US_national_yearly!$D:$AM, 10, FALSE), 1)</f>
        <v>1.5135241693544725E-3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0.25604441877783624</v>
      </c>
      <c r="C14" s="7">
        <f>$B14 * IFERROR(VLOOKUP("transport|NOx|Minor restricted activity days", US_national_yearly!$D:$AM, 11, FALSE) / VLOOKUP("transport|NOx|Minor restricted activity days", US_national_yearly!$D:$AM, 10, FALSE), 1)</f>
        <v>0.25643697784084429</v>
      </c>
      <c r="D14" s="7">
        <f>$B14 * IFERROR(VLOOKUP("transport|NOx|Minor restricted activity days", US_national_yearly!$D:$AM, 12, FALSE) / VLOOKUP("transport|NOx|Minor restricted activity days", US_national_yearly!$D:$AM, 10, FALSE), 1)</f>
        <v>0.25682953690385235</v>
      </c>
      <c r="E14" s="7">
        <f>$B14 * IFERROR(VLOOKUP("transport|NOx|Minor restricted activity days", US_national_yearly!$D:$AM, 13, FALSE) / VLOOKUP("transport|NOx|Minor restricted activity days", US_national_yearly!$D:$AM, 10, FALSE), 1)</f>
        <v>0.25722209596686046</v>
      </c>
      <c r="F14" s="7">
        <f>$B14 * IFERROR(VLOOKUP("transport|NOx|Minor restricted activity days", US_national_yearly!$D:$AM, 14, FALSE) / VLOOKUP("transport|NOx|Minor restricted activity days", US_national_yearly!$D:$AM, 10, FALSE), 1)</f>
        <v>0.25761465502986852</v>
      </c>
      <c r="G14" s="7">
        <f>$B14 * IFERROR(VLOOKUP("transport|NOx|Minor restricted activity days", US_national_yearly!$D:$AM, 15, FALSE) / VLOOKUP("transport|NOx|Minor restricted activity days", US_national_yearly!$D:$AM, 10, FALSE), 1)</f>
        <v>0.25832352326057517</v>
      </c>
      <c r="H14" s="7">
        <f>$B14 * IFERROR(VLOOKUP("transport|NOx|Minor restricted activity days", US_national_yearly!$D:$AM, 16, FALSE) / VLOOKUP("transport|NOx|Minor restricted activity days", US_national_yearly!$D:$AM, 10, FALSE), 1)</f>
        <v>0.25903239149128171</v>
      </c>
      <c r="I14" s="7">
        <f>$B14 * IFERROR(VLOOKUP("transport|NOx|Minor restricted activity days", US_national_yearly!$D:$AM, 17, FALSE) / VLOOKUP("transport|NOx|Minor restricted activity days", US_national_yearly!$D:$AM, 10, FALSE), 1)</f>
        <v>0.26041890971899351</v>
      </c>
      <c r="J14" s="7">
        <f>$B14 * IFERROR(VLOOKUP("transport|NOx|Minor restricted activity days", US_national_yearly!$D:$AM, 18, FALSE) / VLOOKUP("transport|NOx|Minor restricted activity days", US_national_yearly!$D:$AM, 10, FALSE), 1)</f>
        <v>0.26180542794670519</v>
      </c>
      <c r="K14" s="7">
        <f>$B14 * IFERROR(VLOOKUP("transport|NOx|Minor restricted activity days", US_national_yearly!$D:$AM, 19, FALSE) / VLOOKUP("transport|NOx|Minor restricted activity days", US_national_yearly!$D:$AM, 10, FALSE), 1)</f>
        <v>0.26319194617441694</v>
      </c>
      <c r="L14" s="7">
        <f>$B14 * IFERROR(VLOOKUP("transport|NOx|Minor restricted activity days", US_national_yearly!$D:$AM, 20, FALSE) / VLOOKUP("transport|NOx|Minor restricted activity days", US_national_yearly!$D:$AM, 10, FALSE), 1)</f>
        <v>0.26457846440212868</v>
      </c>
      <c r="M14" s="7">
        <f>$B14 * IFERROR(VLOOKUP("transport|NOx|Minor restricted activity days", US_national_yearly!$D:$AM, 21, FALSE) / VLOOKUP("transport|NOx|Minor restricted activity days", US_national_yearly!$D:$AM, 10, FALSE), 1)</f>
        <v>0.26596498262984042</v>
      </c>
      <c r="N14" s="7">
        <f>$B14 * IFERROR(VLOOKUP("transport|NOx|Minor restricted activity days", US_national_yearly!$D:$AM, 22, FALSE) / VLOOKUP("transport|NOx|Minor restricted activity days", US_national_yearly!$D:$AM, 10, FALSE), 1)</f>
        <v>0.26795016234572494</v>
      </c>
      <c r="O14" s="7">
        <f>$B14 * IFERROR(VLOOKUP("transport|NOx|Minor restricted activity days", US_national_yearly!$D:$AM, 23, FALSE) / VLOOKUP("transport|NOx|Minor restricted activity days", US_national_yearly!$D:$AM, 10, FALSE), 1)</f>
        <v>0.26993534206160946</v>
      </c>
      <c r="P14" s="7">
        <f>$B14 * IFERROR(VLOOKUP("transport|NOx|Minor restricted activity days", US_national_yearly!$D:$AM, 24, FALSE) / VLOOKUP("transport|NOx|Minor restricted activity days", US_national_yearly!$D:$AM, 10, FALSE), 1)</f>
        <v>0.27192052177749398</v>
      </c>
      <c r="Q14" s="7">
        <f>$B14 * IFERROR(VLOOKUP("transport|NOx|Minor restricted activity days", US_national_yearly!$D:$AM, 25, FALSE) / VLOOKUP("transport|NOx|Minor restricted activity days", US_national_yearly!$D:$AM, 10, FALSE), 1)</f>
        <v>0.27390570149337845</v>
      </c>
      <c r="R14" s="7">
        <f>$B14 * IFERROR(VLOOKUP("transport|NOx|Minor restricted activity days", US_national_yearly!$D:$AM, 26, FALSE) / VLOOKUP("transport|NOx|Minor restricted activity days", US_national_yearly!$D:$AM, 10, FALSE), 1)</f>
        <v>0.27589088120926297</v>
      </c>
      <c r="S14" s="7">
        <f>$B14 * IFERROR(VLOOKUP("transport|NOx|Minor restricted activity days", US_national_yearly!$D:$AM, 27, FALSE) / VLOOKUP("transport|NOx|Minor restricted activity days", US_national_yearly!$D:$AM, 10, FALSE), 1)</f>
        <v>0.27787564354536121</v>
      </c>
      <c r="T14" s="7">
        <f>$B14 * IFERROR(VLOOKUP("transport|NOx|Minor restricted activity days", US_national_yearly!$D:$AM, 28, FALSE) / VLOOKUP("transport|NOx|Minor restricted activity days", US_national_yearly!$D:$AM, 10, FALSE), 1)</f>
        <v>0.27986040588145938</v>
      </c>
      <c r="U14" s="7">
        <f>$B14 * IFERROR(VLOOKUP("transport|NOx|Minor restricted activity days", US_national_yearly!$D:$AM, 29, FALSE) / VLOOKUP("transport|NOx|Minor restricted activity days", US_national_yearly!$D:$AM, 10, FALSE), 1)</f>
        <v>0.28184516821755756</v>
      </c>
      <c r="V14" s="7">
        <f>$B14 * IFERROR(VLOOKUP("transport|NOx|Minor restricted activity days", US_national_yearly!$D:$AM, 30, FALSE) / VLOOKUP("transport|NOx|Minor restricted activity days", US_national_yearly!$D:$AM, 10, FALSE), 1)</f>
        <v>0.2838299305536558</v>
      </c>
      <c r="W14" s="7">
        <f>$B14 * IFERROR(VLOOKUP("transport|NOx|Minor restricted activity days", US_national_yearly!$D:$AM, 31, FALSE) / VLOOKUP("transport|NOx|Minor restricted activity days", US_national_yearly!$D:$AM, 10, FALSE), 1)</f>
        <v>0.28581469288975397</v>
      </c>
      <c r="X14" s="7">
        <f>$B14 * IFERROR(VLOOKUP("transport|NOx|Minor restricted activity days", US_national_yearly!$D:$AM, 32, FALSE) / VLOOKUP("transport|NOx|Minor restricted activity days", US_national_yearly!$D:$AM, 10, FALSE), 1)</f>
        <v>0.28749273383375673</v>
      </c>
      <c r="Y14" s="7">
        <f>$B14 * IFERROR(VLOOKUP("transport|NOx|Minor restricted activity days", US_national_yearly!$D:$AM, 33, FALSE) / VLOOKUP("transport|NOx|Minor restricted activity days", US_national_yearly!$D:$AM, 10, FALSE), 1)</f>
        <v>0.28917077477775943</v>
      </c>
      <c r="Z14" s="7">
        <f>$B14 * IFERROR(VLOOKUP("transport|NOx|Minor restricted activity days", US_national_yearly!$D:$AM, 34, FALSE) / VLOOKUP("transport|NOx|Minor restricted activity days", US_national_yearly!$D:$AM, 10, FALSE), 1)</f>
        <v>0.29084881572176219</v>
      </c>
      <c r="AA14" s="7">
        <f>$B14 * IFERROR(VLOOKUP("transport|NOx|Minor restricted activity days", US_national_yearly!$D:$AM, 35, FALSE) / VLOOKUP("transport|NOx|Minor restricted activity days", US_national_yearly!$D:$AM, 10, FALSE), 1)</f>
        <v>0.29252685666576494</v>
      </c>
      <c r="AB14" s="7">
        <f>$B14 * IFERROR(VLOOKUP("transport|NOx|Minor restricted activity days", US_national_yearly!$D:$AM, 36, FALSE) / VLOOKUP("transport|NOx|Minor restricted activity days", US_national_yearly!$D:$AM, 10, FALSE), 1)</f>
        <v>0.2942048976097677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4.3413762255774258E-2</v>
      </c>
      <c r="C15" s="7">
        <f>$B15 * IFERROR(VLOOKUP("transport|NOx|Work loss days", US_national_yearly!$D:$AM, 11, FALSE) / VLOOKUP("transport|NOx|Work loss days", US_national_yearly!$D:$AM, 10, FALSE), 1)</f>
        <v>4.3510333834399346E-2</v>
      </c>
      <c r="D15" s="7">
        <f>$B15 * IFERROR(VLOOKUP("transport|NOx|Work loss days", US_national_yearly!$D:$AM, 12, FALSE) / VLOOKUP("transport|NOx|Work loss days", US_national_yearly!$D:$AM, 10, FALSE), 1)</f>
        <v>4.3606905413024449E-2</v>
      </c>
      <c r="E15" s="7">
        <f>$B15 * IFERROR(VLOOKUP("transport|NOx|Work loss days", US_national_yearly!$D:$AM, 13, FALSE) / VLOOKUP("transport|NOx|Work loss days", US_national_yearly!$D:$AM, 10, FALSE), 1)</f>
        <v>4.3703476991649538E-2</v>
      </c>
      <c r="F15" s="7">
        <f>$B15 * IFERROR(VLOOKUP("transport|NOx|Work loss days", US_national_yearly!$D:$AM, 14, FALSE) / VLOOKUP("transport|NOx|Work loss days", US_national_yearly!$D:$AM, 10, FALSE), 1)</f>
        <v>4.3800048570274641E-2</v>
      </c>
      <c r="G15" s="7">
        <f>$B15 * IFERROR(VLOOKUP("transport|NOx|Work loss days", US_national_yearly!$D:$AM, 15, FALSE) / VLOOKUP("transport|NOx|Work loss days", US_national_yearly!$D:$AM, 10, FALSE), 1)</f>
        <v>4.3941043898865717E-2</v>
      </c>
      <c r="H15" s="7">
        <f>$B15 * IFERROR(VLOOKUP("transport|NOx|Work loss days", US_national_yearly!$D:$AM, 16, FALSE) / VLOOKUP("transport|NOx|Work loss days", US_national_yearly!$D:$AM, 10, FALSE), 1)</f>
        <v>4.4082039227456807E-2</v>
      </c>
      <c r="I15" s="7">
        <f>$B15 * IFERROR(VLOOKUP("transport|NOx|Work loss days", US_national_yearly!$D:$AM, 17, FALSE) / VLOOKUP("transport|NOx|Work loss days", US_national_yearly!$D:$AM, 10, FALSE), 1)</f>
        <v>4.4310444018360977E-2</v>
      </c>
      <c r="J15" s="7">
        <f>$B15 * IFERROR(VLOOKUP("transport|NOx|Work loss days", US_national_yearly!$D:$AM, 18, FALSE) / VLOOKUP("transport|NOx|Work loss days", US_national_yearly!$D:$AM, 10, FALSE), 1)</f>
        <v>4.4538848809265161E-2</v>
      </c>
      <c r="K15" s="7">
        <f>$B15 * IFERROR(VLOOKUP("transport|NOx|Work loss days", US_national_yearly!$D:$AM, 19, FALSE) / VLOOKUP("transport|NOx|Work loss days", US_national_yearly!$D:$AM, 10, FALSE), 1)</f>
        <v>4.4767253600169331E-2</v>
      </c>
      <c r="L15" s="7">
        <f>$B15 * IFERROR(VLOOKUP("transport|NOx|Work loss days", US_national_yearly!$D:$AM, 20, FALSE) / VLOOKUP("transport|NOx|Work loss days", US_national_yearly!$D:$AM, 10, FALSE), 1)</f>
        <v>4.4995658391073501E-2</v>
      </c>
      <c r="M15" s="7">
        <f>$B15 * IFERROR(VLOOKUP("transport|NOx|Work loss days", US_national_yearly!$D:$AM, 21, FALSE) / VLOOKUP("transport|NOx|Work loss days", US_national_yearly!$D:$AM, 10, FALSE), 1)</f>
        <v>4.5224063181977678E-2</v>
      </c>
      <c r="N15" s="7">
        <f>$B15 * IFERROR(VLOOKUP("transport|NOx|Work loss days", US_national_yearly!$D:$AM, 22, FALSE) / VLOOKUP("transport|NOx|Work loss days", US_national_yearly!$D:$AM, 10, FALSE), 1)</f>
        <v>4.5521318001797192E-2</v>
      </c>
      <c r="O15" s="7">
        <f>$B15 * IFERROR(VLOOKUP("transport|NOx|Work loss days", US_national_yearly!$D:$AM, 23, FALSE) / VLOOKUP("transport|NOx|Work loss days", US_national_yearly!$D:$AM, 10, FALSE), 1)</f>
        <v>4.5818572821616714E-2</v>
      </c>
      <c r="P15" s="7">
        <f>$B15 * IFERROR(VLOOKUP("transport|NOx|Work loss days", US_national_yearly!$D:$AM, 24, FALSE) / VLOOKUP("transport|NOx|Work loss days", US_national_yearly!$D:$AM, 10, FALSE), 1)</f>
        <v>4.6115827641436229E-2</v>
      </c>
      <c r="Q15" s="7">
        <f>$B15 * IFERROR(VLOOKUP("transport|NOx|Work loss days", US_national_yearly!$D:$AM, 25, FALSE) / VLOOKUP("transport|NOx|Work loss days", US_national_yearly!$D:$AM, 10, FALSE), 1)</f>
        <v>4.6413082461255729E-2</v>
      </c>
      <c r="R15" s="7">
        <f>$B15 * IFERROR(VLOOKUP("transport|NOx|Work loss days", US_national_yearly!$D:$AM, 26, FALSE) / VLOOKUP("transport|NOx|Work loss days", US_national_yearly!$D:$AM, 10, FALSE), 1)</f>
        <v>4.6710337281075258E-2</v>
      </c>
      <c r="S15" s="7">
        <f>$B15 * IFERROR(VLOOKUP("transport|NOx|Work loss days", US_national_yearly!$D:$AM, 27, FALSE) / VLOOKUP("transport|NOx|Work loss days", US_national_yearly!$D:$AM, 10, FALSE), 1)</f>
        <v>4.7041738397576853E-2</v>
      </c>
      <c r="T15" s="7">
        <f>$B15 * IFERROR(VLOOKUP("transport|NOx|Work loss days", US_national_yearly!$D:$AM, 28, FALSE) / VLOOKUP("transport|NOx|Work loss days", US_national_yearly!$D:$AM, 10, FALSE), 1)</f>
        <v>4.7373139514078448E-2</v>
      </c>
      <c r="U15" s="7">
        <f>$B15 * IFERROR(VLOOKUP("transport|NOx|Work loss days", US_national_yearly!$D:$AM, 29, FALSE) / VLOOKUP("transport|NOx|Work loss days", US_national_yearly!$D:$AM, 10, FALSE), 1)</f>
        <v>4.7704540630580029E-2</v>
      </c>
      <c r="V15" s="7">
        <f>$B15 * IFERROR(VLOOKUP("transport|NOx|Work loss days", US_national_yearly!$D:$AM, 30, FALSE) / VLOOKUP("transport|NOx|Work loss days", US_national_yearly!$D:$AM, 10, FALSE), 1)</f>
        <v>4.8035941747081624E-2</v>
      </c>
      <c r="W15" s="7">
        <f>$B15 * IFERROR(VLOOKUP("transport|NOx|Work loss days", US_national_yearly!$D:$AM, 31, FALSE) / VLOOKUP("transport|NOx|Work loss days", US_national_yearly!$D:$AM, 10, FALSE), 1)</f>
        <v>4.8367342863583219E-2</v>
      </c>
      <c r="X15" s="7">
        <f>$B15 * IFERROR(VLOOKUP("transport|NOx|Work loss days", US_national_yearly!$D:$AM, 32, FALSE) / VLOOKUP("transport|NOx|Work loss days", US_national_yearly!$D:$AM, 10, FALSE), 1)</f>
        <v>4.8654981363479247E-2</v>
      </c>
      <c r="Y15" s="7">
        <f>$B15 * IFERROR(VLOOKUP("transport|NOx|Work loss days", US_national_yearly!$D:$AM, 33, FALSE) / VLOOKUP("transport|NOx|Work loss days", US_national_yearly!$D:$AM, 10, FALSE), 1)</f>
        <v>4.8942619863375274E-2</v>
      </c>
      <c r="Z15" s="7">
        <f>$B15 * IFERROR(VLOOKUP("transport|NOx|Work loss days", US_national_yearly!$D:$AM, 34, FALSE) / VLOOKUP("transport|NOx|Work loss days", US_national_yearly!$D:$AM, 10, FALSE), 1)</f>
        <v>4.9230258363271308E-2</v>
      </c>
      <c r="AA15" s="7">
        <f>$B15 * IFERROR(VLOOKUP("transport|NOx|Work loss days", US_national_yearly!$D:$AM, 35, FALSE) / VLOOKUP("transport|NOx|Work loss days", US_national_yearly!$D:$AM, 10, FALSE), 1)</f>
        <v>4.9517896863167335E-2</v>
      </c>
      <c r="AB15" s="7">
        <f>$B15 * IFERROR(VLOOKUP("transport|NOx|Work loss days", US_national_yearly!$D:$AM, 36, FALSE) / VLOOKUP("transport|NOx|Work loss days", US_national_yearly!$D:$AM, 10, FALSE), 1)</f>
        <v>4.9805535363063362E-2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2.7077581112493562E-4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2.7873245861258098E-4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2.8668910610022623E-4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2.9464575358787153E-4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3.0260240107551689E-4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3.1015990036139618E-4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3.1771739964727558E-4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3.2407267351853815E-4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3.3042794738980067E-4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3.3678322126106324E-4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3.4313849513232581E-4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3.4949376900358844E-4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3.5346793233592748E-4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3.5744209566826657E-4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3.6141625900060561E-4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3.6539042233294476E-4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3.693645856652838E-4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3.711778872613946E-4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3.7299118885750546E-4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3.7480449045361626E-4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3.7661779204972706E-4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3.7843109364583792E-4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3.7944025885054152E-4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3.8044942405524512E-4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3.8145858925994877E-4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3.8246775446465237E-4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3.8347691966935597E-4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4.1050238190990613E-3</v>
      </c>
      <c r="C2" s="7">
        <f>$B2 * IFERROR(VLOOKUP("transport|SO2|Premature mortality", US_national_yearly!$D:$AM, 11, FALSE) / VLOOKUP("transport|SO2|Premature mortality", US_national_yearly!$D:$AM, 10, FALSE), 1)</f>
        <v>4.1570117246855741E-3</v>
      </c>
      <c r="D2" s="7">
        <f>$B2 * IFERROR(VLOOKUP("transport|SO2|Premature mortality", US_national_yearly!$D:$AM, 12, FALSE) / VLOOKUP("transport|SO2|Premature mortality", US_national_yearly!$D:$AM, 10, FALSE), 1)</f>
        <v>4.2089996302720886E-3</v>
      </c>
      <c r="E2" s="7">
        <f>$B2 * IFERROR(VLOOKUP("transport|SO2|Premature mortality", US_national_yearly!$D:$AM, 13, FALSE) / VLOOKUP("transport|SO2|Premature mortality", US_national_yearly!$D:$AM, 10, FALSE), 1)</f>
        <v>4.2609875358586013E-3</v>
      </c>
      <c r="F2" s="7">
        <f>$B2 * IFERROR(VLOOKUP("transport|SO2|Premature mortality", US_national_yearly!$D:$AM, 14, FALSE) / VLOOKUP("transport|SO2|Premature mortality", US_national_yearly!$D:$AM, 10, FALSE), 1)</f>
        <v>4.312975441445115E-3</v>
      </c>
      <c r="G2" s="7">
        <f>$B2 * IFERROR(VLOOKUP("transport|SO2|Premature mortality", US_national_yearly!$D:$AM, 15, FALSE) / VLOOKUP("transport|SO2|Premature mortality", US_national_yearly!$D:$AM, 10, FALSE), 1)</f>
        <v>4.4131531891554721E-3</v>
      </c>
      <c r="H2" s="7">
        <f>$B2 * IFERROR(VLOOKUP("transport|SO2|Premature mortality", US_national_yearly!$D:$AM, 16, FALSE) / VLOOKUP("transport|SO2|Premature mortality", US_national_yearly!$D:$AM, 10, FALSE), 1)</f>
        <v>4.5133309368658283E-3</v>
      </c>
      <c r="I2" s="7">
        <f>$B2 * IFERROR(VLOOKUP("transport|SO2|Premature mortality", US_national_yearly!$D:$AM, 17, FALSE) / VLOOKUP("transport|SO2|Premature mortality", US_national_yearly!$D:$AM, 10, FALSE), 1)</f>
        <v>4.5795345308460916E-3</v>
      </c>
      <c r="J2" s="7">
        <f>$B2 * IFERROR(VLOOKUP("transport|SO2|Premature mortality", US_national_yearly!$D:$AM, 18, FALSE) / VLOOKUP("transport|SO2|Premature mortality", US_national_yearly!$D:$AM, 10, FALSE), 1)</f>
        <v>4.6457381248263549E-3</v>
      </c>
      <c r="K2" s="7">
        <f>$B2 * IFERROR(VLOOKUP("transport|SO2|Premature mortality", US_national_yearly!$D:$AM, 19, FALSE) / VLOOKUP("transport|SO2|Premature mortality", US_national_yearly!$D:$AM, 10, FALSE), 1)</f>
        <v>4.7119417188066174E-3</v>
      </c>
      <c r="L2" s="7">
        <f>$B2 * IFERROR(VLOOKUP("transport|SO2|Premature mortality", US_national_yearly!$D:$AM, 20, FALSE) / VLOOKUP("transport|SO2|Premature mortality", US_national_yearly!$D:$AM, 10, FALSE), 1)</f>
        <v>4.7781453127868807E-3</v>
      </c>
      <c r="M2" s="7">
        <f>$B2 * IFERROR(VLOOKUP("transport|SO2|Premature mortality", US_national_yearly!$D:$AM, 21, FALSE) / VLOOKUP("transport|SO2|Premature mortality", US_national_yearly!$D:$AM, 10, FALSE), 1)</f>
        <v>4.8443489067671432E-3</v>
      </c>
      <c r="N2" s="7">
        <f>$B2 * IFERROR(VLOOKUP("transport|SO2|Premature mortality", US_national_yearly!$D:$AM, 22, FALSE) / VLOOKUP("transport|SO2|Premature mortality", US_national_yearly!$D:$AM, 10, FALSE), 1)</f>
        <v>4.8960768040398651E-3</v>
      </c>
      <c r="O2" s="7">
        <f>$B2 * IFERROR(VLOOKUP("transport|SO2|Premature mortality", US_national_yearly!$D:$AM, 23, FALSE) / VLOOKUP("transport|SO2|Premature mortality", US_national_yearly!$D:$AM, 10, FALSE), 1)</f>
        <v>4.9478047013125862E-3</v>
      </c>
      <c r="P2" s="7">
        <f>$B2 * IFERROR(VLOOKUP("transport|SO2|Premature mortality", US_national_yearly!$D:$AM, 24, FALSE) / VLOOKUP("transport|SO2|Premature mortality", US_national_yearly!$D:$AM, 10, FALSE), 1)</f>
        <v>4.9995325985853073E-3</v>
      </c>
      <c r="Q2" s="7">
        <f>$B2 * IFERROR(VLOOKUP("transport|SO2|Premature mortality", US_national_yearly!$D:$AM, 25, FALSE) / VLOOKUP("transport|SO2|Premature mortality", US_national_yearly!$D:$AM, 10, FALSE), 1)</f>
        <v>5.0512604958580284E-3</v>
      </c>
      <c r="R2" s="7">
        <f>$B2 * IFERROR(VLOOKUP("transport|SO2|Premature mortality", US_national_yearly!$D:$AM, 26, FALSE) / VLOOKUP("transport|SO2|Premature mortality", US_national_yearly!$D:$AM, 10, FALSE), 1)</f>
        <v>5.1029883931307486E-3</v>
      </c>
      <c r="S2" s="7">
        <f>$B2 * IFERROR(VLOOKUP("transport|SO2|Premature mortality", US_national_yearly!$D:$AM, 27, FALSE) / VLOOKUP("transport|SO2|Premature mortality", US_national_yearly!$D:$AM, 10, FALSE), 1)</f>
        <v>5.1306893708875497E-3</v>
      </c>
      <c r="T2" s="7">
        <f>$B2 * IFERROR(VLOOKUP("transport|SO2|Premature mortality", US_national_yearly!$D:$AM, 28, FALSE) / VLOOKUP("transport|SO2|Premature mortality", US_national_yearly!$D:$AM, 10, FALSE), 1)</f>
        <v>5.15839034864435E-3</v>
      </c>
      <c r="U2" s="7">
        <f>$B2 * IFERROR(VLOOKUP("transport|SO2|Premature mortality", US_national_yearly!$D:$AM, 29, FALSE) / VLOOKUP("transport|SO2|Premature mortality", US_national_yearly!$D:$AM, 10, FALSE), 1)</f>
        <v>5.1860913264011503E-3</v>
      </c>
      <c r="V2" s="7">
        <f>$B2 * IFERROR(VLOOKUP("transport|SO2|Premature mortality", US_national_yearly!$D:$AM, 30, FALSE) / VLOOKUP("transport|SO2|Premature mortality", US_national_yearly!$D:$AM, 10, FALSE), 1)</f>
        <v>5.2137923041579506E-3</v>
      </c>
      <c r="W2" s="7">
        <f>$B2 * IFERROR(VLOOKUP("transport|SO2|Premature mortality", US_national_yearly!$D:$AM, 31, FALSE) / VLOOKUP("transport|SO2|Premature mortality", US_national_yearly!$D:$AM, 10, FALSE), 1)</f>
        <v>5.2414932819147518E-3</v>
      </c>
      <c r="X2" s="7">
        <f>$B2 * IFERROR(VLOOKUP("transport|SO2|Premature mortality", US_national_yearly!$D:$AM, 32, FALSE) / VLOOKUP("transport|SO2|Premature mortality", US_national_yearly!$D:$AM, 10, FALSE), 1)</f>
        <v>5.2471208202769654E-3</v>
      </c>
      <c r="Y2" s="7">
        <f>$B2 * IFERROR(VLOOKUP("transport|SO2|Premature mortality", US_national_yearly!$D:$AM, 33, FALSE) / VLOOKUP("transport|SO2|Premature mortality", US_national_yearly!$D:$AM, 10, FALSE), 1)</f>
        <v>5.2527483586391789E-3</v>
      </c>
      <c r="Z2" s="7">
        <f>$B2 * IFERROR(VLOOKUP("transport|SO2|Premature mortality", US_national_yearly!$D:$AM, 34, FALSE) / VLOOKUP("transport|SO2|Premature mortality", US_national_yearly!$D:$AM, 10, FALSE), 1)</f>
        <v>5.2583758970013925E-3</v>
      </c>
      <c r="AA2" s="7">
        <f>$B2 * IFERROR(VLOOKUP("transport|SO2|Premature mortality", US_national_yearly!$D:$AM, 35, FALSE) / VLOOKUP("transport|SO2|Premature mortality", US_national_yearly!$D:$AM, 10, FALSE), 1)</f>
        <v>5.264003435363606E-3</v>
      </c>
      <c r="AB2" s="7">
        <f>$B2 * IFERROR(VLOOKUP("transport|SO2|Premature mortality", US_national_yearly!$D:$AM, 36, FALSE) / VLOOKUP("transport|SO2|Premature mortality", US_national_yearly!$D:$AM, 10, FALSE), 1)</f>
        <v>5.2696309737258187E-3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1.4686172451101293E-5</v>
      </c>
      <c r="C3" s="7">
        <f>$B3 * IFERROR(VLOOKUP("transport|SO2|Infant mortality", US_national_yearly!$D:$AM, 11, FALSE) / VLOOKUP("transport|SO2|Infant mortality", US_national_yearly!$D:$AM, 10, FALSE), 1)</f>
        <v>1.4560015550906662E-5</v>
      </c>
      <c r="D3" s="7">
        <f>$B3 * IFERROR(VLOOKUP("transport|SO2|Infant mortality", US_national_yearly!$D:$AM, 12, FALSE) / VLOOKUP("transport|SO2|Infant mortality", US_national_yearly!$D:$AM, 10, FALSE), 1)</f>
        <v>1.4433858650712031E-5</v>
      </c>
      <c r="E3" s="7">
        <f>$B3 * IFERROR(VLOOKUP("transport|SO2|Infant mortality", US_national_yearly!$D:$AM, 13, FALSE) / VLOOKUP("transport|SO2|Infant mortality", US_national_yearly!$D:$AM, 10, FALSE), 1)</f>
        <v>1.4307701750517398E-5</v>
      </c>
      <c r="F3" s="7">
        <f>$B3 * IFERROR(VLOOKUP("transport|SO2|Infant mortality", US_national_yearly!$D:$AM, 14, FALSE) / VLOOKUP("transport|SO2|Infant mortality", US_national_yearly!$D:$AM, 10, FALSE), 1)</f>
        <v>1.4181544850322769E-5</v>
      </c>
      <c r="G3" s="7">
        <f>$B3 * IFERROR(VLOOKUP("transport|SO2|Infant mortality", US_national_yearly!$D:$AM, 15, FALSE) / VLOOKUP("transport|SO2|Infant mortality", US_national_yearly!$D:$AM, 10, FALSE), 1)</f>
        <v>9.4460510743538483E-6</v>
      </c>
      <c r="H3" s="7">
        <f>$B3 * IFERROR(VLOOKUP("transport|SO2|Infant mortality", US_national_yearly!$D:$AM, 16, FALSE) / VLOOKUP("transport|SO2|Infant mortality", US_national_yearly!$D:$AM, 10, FALSE), 1)</f>
        <v>4.710557298384936E-6</v>
      </c>
      <c r="I3" s="7">
        <f>$B3 * IFERROR(VLOOKUP("transport|SO2|Infant mortality", US_national_yearly!$D:$AM, 17, FALSE) / VLOOKUP("transport|SO2|Infant mortality", US_national_yearly!$D:$AM, 10, FALSE), 1)</f>
        <v>4.6810065499859918E-6</v>
      </c>
      <c r="J3" s="7">
        <f>$B3 * IFERROR(VLOOKUP("transport|SO2|Infant mortality", US_national_yearly!$D:$AM, 18, FALSE) / VLOOKUP("transport|SO2|Infant mortality", US_national_yearly!$D:$AM, 10, FALSE), 1)</f>
        <v>4.6514558015870484E-6</v>
      </c>
      <c r="K3" s="7">
        <f>$B3 * IFERROR(VLOOKUP("transport|SO2|Infant mortality", US_national_yearly!$D:$AM, 19, FALSE) / VLOOKUP("transport|SO2|Infant mortality", US_national_yearly!$D:$AM, 10, FALSE), 1)</f>
        <v>4.621905053188105E-6</v>
      </c>
      <c r="L3" s="7">
        <f>$B3 * IFERROR(VLOOKUP("transport|SO2|Infant mortality", US_national_yearly!$D:$AM, 20, FALSE) / VLOOKUP("transport|SO2|Infant mortality", US_national_yearly!$D:$AM, 10, FALSE), 1)</f>
        <v>4.5923543047891625E-6</v>
      </c>
      <c r="M3" s="7">
        <f>$B3 * IFERROR(VLOOKUP("transport|SO2|Infant mortality", US_national_yearly!$D:$AM, 21, FALSE) / VLOOKUP("transport|SO2|Infant mortality", US_national_yearly!$D:$AM, 10, FALSE), 1)</f>
        <v>4.5628035563902191E-6</v>
      </c>
      <c r="N3" s="7">
        <f>$B3 * IFERROR(VLOOKUP("transport|SO2|Infant mortality", US_national_yearly!$D:$AM, 22, FALSE) / VLOOKUP("transport|SO2|Infant mortality", US_national_yearly!$D:$AM, 10, FALSE), 1)</f>
        <v>4.5442547728566736E-6</v>
      </c>
      <c r="O3" s="7">
        <f>$B3 * IFERROR(VLOOKUP("transport|SO2|Infant mortality", US_national_yearly!$D:$AM, 23, FALSE) / VLOOKUP("transport|SO2|Infant mortality", US_national_yearly!$D:$AM, 10, FALSE), 1)</f>
        <v>4.5257059893231288E-6</v>
      </c>
      <c r="P3" s="7">
        <f>$B3 * IFERROR(VLOOKUP("transport|SO2|Infant mortality", US_national_yearly!$D:$AM, 24, FALSE) / VLOOKUP("transport|SO2|Infant mortality", US_national_yearly!$D:$AM, 10, FALSE), 1)</f>
        <v>4.5071572057895833E-6</v>
      </c>
      <c r="Q3" s="7">
        <f>$B3 * IFERROR(VLOOKUP("transport|SO2|Infant mortality", US_national_yearly!$D:$AM, 25, FALSE) / VLOOKUP("transport|SO2|Infant mortality", US_national_yearly!$D:$AM, 10, FALSE), 1)</f>
        <v>4.4886084222560377E-6</v>
      </c>
      <c r="R3" s="7">
        <f>$B3 * IFERROR(VLOOKUP("transport|SO2|Infant mortality", US_national_yearly!$D:$AM, 26, FALSE) / VLOOKUP("transport|SO2|Infant mortality", US_national_yearly!$D:$AM, 10, FALSE), 1)</f>
        <v>4.4700596387224921E-6</v>
      </c>
      <c r="S3" s="7">
        <f>$B3 * IFERROR(VLOOKUP("transport|SO2|Infant mortality", US_national_yearly!$D:$AM, 27, FALSE) / VLOOKUP("transport|SO2|Infant mortality", US_national_yearly!$D:$AM, 10, FALSE), 1)</f>
        <v>4.4467705109800445E-6</v>
      </c>
      <c r="T3" s="7">
        <f>$B3 * IFERROR(VLOOKUP("transport|SO2|Infant mortality", US_national_yearly!$D:$AM, 28, FALSE) / VLOOKUP("transport|SO2|Infant mortality", US_national_yearly!$D:$AM, 10, FALSE), 1)</f>
        <v>4.423481383237597E-6</v>
      </c>
      <c r="U3" s="7">
        <f>$B3 * IFERROR(VLOOKUP("transport|SO2|Infant mortality", US_national_yearly!$D:$AM, 29, FALSE) / VLOOKUP("transport|SO2|Infant mortality", US_national_yearly!$D:$AM, 10, FALSE), 1)</f>
        <v>4.4001922554951477E-6</v>
      </c>
      <c r="V3" s="7">
        <f>$B3 * IFERROR(VLOOKUP("transport|SO2|Infant mortality", US_national_yearly!$D:$AM, 30, FALSE) / VLOOKUP("transport|SO2|Infant mortality", US_national_yearly!$D:$AM, 10, FALSE), 1)</f>
        <v>4.376903127752701E-6</v>
      </c>
      <c r="W3" s="7">
        <f>$B3 * IFERROR(VLOOKUP("transport|SO2|Infant mortality", US_national_yearly!$D:$AM, 31, FALSE) / VLOOKUP("transport|SO2|Infant mortality", US_national_yearly!$D:$AM, 10, FALSE), 1)</f>
        <v>4.3536140000102526E-6</v>
      </c>
      <c r="X3" s="7">
        <f>$B3 * IFERROR(VLOOKUP("transport|SO2|Infant mortality", US_national_yearly!$D:$AM, 32, FALSE) / VLOOKUP("transport|SO2|Infant mortality", US_national_yearly!$D:$AM, 10, FALSE), 1)</f>
        <v>4.3281517946844464E-6</v>
      </c>
      <c r="Y3" s="7">
        <f>$B3 * IFERROR(VLOOKUP("transport|SO2|Infant mortality", US_national_yearly!$D:$AM, 33, FALSE) / VLOOKUP("transport|SO2|Infant mortality", US_national_yearly!$D:$AM, 10, FALSE), 1)</f>
        <v>4.3026895893586386E-6</v>
      </c>
      <c r="Z3" s="7">
        <f>$B3 * IFERROR(VLOOKUP("transport|SO2|Infant mortality", US_national_yearly!$D:$AM, 34, FALSE) / VLOOKUP("transport|SO2|Infant mortality", US_national_yearly!$D:$AM, 10, FALSE), 1)</f>
        <v>4.2772273840328332E-6</v>
      </c>
      <c r="AA3" s="7">
        <f>$B3 * IFERROR(VLOOKUP("transport|SO2|Infant mortality", US_national_yearly!$D:$AM, 35, FALSE) / VLOOKUP("transport|SO2|Infant mortality", US_national_yearly!$D:$AM, 10, FALSE), 1)</f>
        <v>4.2517651787070254E-6</v>
      </c>
      <c r="AB3" s="7">
        <f>$B3 * IFERROR(VLOOKUP("transport|SO2|Infant mortality", US_national_yearly!$D:$AM, 36, FALSE) / VLOOKUP("transport|SO2|Infant mortality", US_national_yearly!$D:$AM, 10, FALSE), 1)</f>
        <v>4.2263029733812201E-6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1.11579590603752E-2</v>
      </c>
      <c r="C6" s="7">
        <f>$B6 * IFERROR(VLOOKUP("transport|SO2|Asthma symptoms cough", US_national_yearly!$D:$AM, 11, FALSE) / VLOOKUP("transport|SO2|Asthma symptoms cough", US_national_yearly!$D:$AM, 10, FALSE), 1)</f>
        <v>1.11579590603752E-2</v>
      </c>
      <c r="D6" s="7">
        <f>$B6 * IFERROR(VLOOKUP("transport|SO2|Asthma symptoms cough", US_national_yearly!$D:$AM, 12, FALSE) / VLOOKUP("transport|SO2|Asthma symptoms cough", US_national_yearly!$D:$AM, 10, FALSE), 1)</f>
        <v>1.11579590603752E-2</v>
      </c>
      <c r="E6" s="7">
        <f>$B6 * IFERROR(VLOOKUP("transport|SO2|Asthma symptoms cough", US_national_yearly!$D:$AM, 13, FALSE) / VLOOKUP("transport|SO2|Asthma symptoms cough", US_national_yearly!$D:$AM, 10, FALSE), 1)</f>
        <v>1.11579590603752E-2</v>
      </c>
      <c r="F6" s="7">
        <f>$B6 * IFERROR(VLOOKUP("transport|SO2|Asthma symptoms cough", US_national_yearly!$D:$AM, 14, FALSE) / VLOOKUP("transport|SO2|Asthma symptoms cough", US_national_yearly!$D:$AM, 10, FALSE), 1)</f>
        <v>1.11579590603752E-2</v>
      </c>
      <c r="G6" s="7">
        <f>$B6 * IFERROR(VLOOKUP("transport|SO2|Asthma symptoms cough", US_national_yearly!$D:$AM, 15, FALSE) / VLOOKUP("transport|SO2|Asthma symptoms cough", US_national_yearly!$D:$AM, 10, FALSE), 1)</f>
        <v>1.11579590603752E-2</v>
      </c>
      <c r="H6" s="7">
        <f>$B6 * IFERROR(VLOOKUP("transport|SO2|Asthma symptoms cough", US_national_yearly!$D:$AM, 16, FALSE) / VLOOKUP("transport|SO2|Asthma symptoms cough", US_national_yearly!$D:$AM, 10, FALSE), 1)</f>
        <v>1.11579590603752E-2</v>
      </c>
      <c r="I6" s="7">
        <f>$B6 * IFERROR(VLOOKUP("transport|SO2|Asthma symptoms cough", US_national_yearly!$D:$AM, 17, FALSE) / VLOOKUP("transport|SO2|Asthma symptoms cough", US_national_yearly!$D:$AM, 10, FALSE), 1)</f>
        <v>1.11579590603752E-2</v>
      </c>
      <c r="J6" s="7">
        <f>$B6 * IFERROR(VLOOKUP("transport|SO2|Asthma symptoms cough", US_national_yearly!$D:$AM, 18, FALSE) / VLOOKUP("transport|SO2|Asthma symptoms cough", US_national_yearly!$D:$AM, 10, FALSE), 1)</f>
        <v>1.11579590603752E-2</v>
      </c>
      <c r="K6" s="7">
        <f>$B6 * IFERROR(VLOOKUP("transport|SO2|Asthma symptoms cough", US_national_yearly!$D:$AM, 19, FALSE) / VLOOKUP("transport|SO2|Asthma symptoms cough", US_national_yearly!$D:$AM, 10, FALSE), 1)</f>
        <v>1.11579590603752E-2</v>
      </c>
      <c r="L6" s="7">
        <f>$B6 * IFERROR(VLOOKUP("transport|SO2|Asthma symptoms cough", US_national_yearly!$D:$AM, 20, FALSE) / VLOOKUP("transport|SO2|Asthma symptoms cough", US_national_yearly!$D:$AM, 10, FALSE), 1)</f>
        <v>1.11579590603752E-2</v>
      </c>
      <c r="M6" s="7">
        <f>$B6 * IFERROR(VLOOKUP("transport|SO2|Asthma symptoms cough", US_national_yearly!$D:$AM, 21, FALSE) / VLOOKUP("transport|SO2|Asthma symptoms cough", US_national_yearly!$D:$AM, 10, FALSE), 1)</f>
        <v>1.11579590603752E-2</v>
      </c>
      <c r="N6" s="7">
        <f>$B6 * IFERROR(VLOOKUP("transport|SO2|Asthma symptoms cough", US_national_yearly!$D:$AM, 22, FALSE) / VLOOKUP("transport|SO2|Asthma symptoms cough", US_national_yearly!$D:$AM, 10, FALSE), 1)</f>
        <v>1.11579590603752E-2</v>
      </c>
      <c r="O6" s="7">
        <f>$B6 * IFERROR(VLOOKUP("transport|SO2|Asthma symptoms cough", US_national_yearly!$D:$AM, 23, FALSE) / VLOOKUP("transport|SO2|Asthma symptoms cough", US_national_yearly!$D:$AM, 10, FALSE), 1)</f>
        <v>1.11579590603752E-2</v>
      </c>
      <c r="P6" s="7">
        <f>$B6 * IFERROR(VLOOKUP("transport|SO2|Asthma symptoms cough", US_national_yearly!$D:$AM, 24, FALSE) / VLOOKUP("transport|SO2|Asthma symptoms cough", US_national_yearly!$D:$AM, 10, FALSE), 1)</f>
        <v>1.11579590603752E-2</v>
      </c>
      <c r="Q6" s="7">
        <f>$B6 * IFERROR(VLOOKUP("transport|SO2|Asthma symptoms cough", US_national_yearly!$D:$AM, 25, FALSE) / VLOOKUP("transport|SO2|Asthma symptoms cough", US_national_yearly!$D:$AM, 10, FALSE), 1)</f>
        <v>1.11579590603752E-2</v>
      </c>
      <c r="R6" s="7">
        <f>$B6 * IFERROR(VLOOKUP("transport|SO2|Asthma symptoms cough", US_national_yearly!$D:$AM, 26, FALSE) / VLOOKUP("transport|SO2|Asthma symptoms cough", US_national_yearly!$D:$AM, 10, FALSE), 1)</f>
        <v>1.11579590603752E-2</v>
      </c>
      <c r="S6" s="7">
        <f>$B6 * IFERROR(VLOOKUP("transport|SO2|Asthma symptoms cough", US_national_yearly!$D:$AM, 27, FALSE) / VLOOKUP("transport|SO2|Asthma symptoms cough", US_national_yearly!$D:$AM, 10, FALSE), 1)</f>
        <v>1.11579590603752E-2</v>
      </c>
      <c r="T6" s="7">
        <f>$B6 * IFERROR(VLOOKUP("transport|SO2|Asthma symptoms cough", US_national_yearly!$D:$AM, 28, FALSE) / VLOOKUP("transport|SO2|Asthma symptoms cough", US_national_yearly!$D:$AM, 10, FALSE), 1)</f>
        <v>1.11579590603752E-2</v>
      </c>
      <c r="U6" s="7">
        <f>$B6 * IFERROR(VLOOKUP("transport|SO2|Asthma symptoms cough", US_national_yearly!$D:$AM, 29, FALSE) / VLOOKUP("transport|SO2|Asthma symptoms cough", US_national_yearly!$D:$AM, 10, FALSE), 1)</f>
        <v>1.11579590603752E-2</v>
      </c>
      <c r="V6" s="7">
        <f>$B6 * IFERROR(VLOOKUP("transport|SO2|Asthma symptoms cough", US_national_yearly!$D:$AM, 30, FALSE) / VLOOKUP("transport|SO2|Asthma symptoms cough", US_national_yearly!$D:$AM, 10, FALSE), 1)</f>
        <v>1.11579590603752E-2</v>
      </c>
      <c r="W6" s="7">
        <f>$B6 * IFERROR(VLOOKUP("transport|SO2|Asthma symptoms cough", US_national_yearly!$D:$AM, 31, FALSE) / VLOOKUP("transport|SO2|Asthma symptoms cough", US_national_yearly!$D:$AM, 10, FALSE), 1)</f>
        <v>1.11579590603752E-2</v>
      </c>
      <c r="X6" s="7">
        <f>$B6 * IFERROR(VLOOKUP("transport|SO2|Asthma symptoms cough", US_national_yearly!$D:$AM, 32, FALSE) / VLOOKUP("transport|SO2|Asthma symptoms cough", US_national_yearly!$D:$AM, 10, FALSE), 1)</f>
        <v>1.11579590603752E-2</v>
      </c>
      <c r="Y6" s="7">
        <f>$B6 * IFERROR(VLOOKUP("transport|SO2|Asthma symptoms cough", US_national_yearly!$D:$AM, 33, FALSE) / VLOOKUP("transport|SO2|Asthma symptoms cough", US_national_yearly!$D:$AM, 10, FALSE), 1)</f>
        <v>1.11579590603752E-2</v>
      </c>
      <c r="Z6" s="7">
        <f>$B6 * IFERROR(VLOOKUP("transport|SO2|Asthma symptoms cough", US_national_yearly!$D:$AM, 34, FALSE) / VLOOKUP("transport|SO2|Asthma symptoms cough", US_national_yearly!$D:$AM, 10, FALSE), 1)</f>
        <v>1.11579590603752E-2</v>
      </c>
      <c r="AA6" s="7">
        <f>$B6 * IFERROR(VLOOKUP("transport|SO2|Asthma symptoms cough", US_national_yearly!$D:$AM, 35, FALSE) / VLOOKUP("transport|SO2|Asthma symptoms cough", US_national_yearly!$D:$AM, 10, FALSE), 1)</f>
        <v>1.11579590603752E-2</v>
      </c>
      <c r="AB6" s="7">
        <f>$B6 * IFERROR(VLOOKUP("transport|SO2|Asthma symptoms cough", US_national_yearly!$D:$AM, 36, FALSE) / VLOOKUP("transport|SO2|Asthma symptoms cough", US_national_yearly!$D:$AM, 10, FALSE), 1)</f>
        <v>1.11579590603752E-2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1.5025802480115369E-2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1.5025802480115369E-2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1.5025802480115369E-2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1.5025802480115369E-2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1.5025802480115369E-2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1.5025802480115369E-2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1.5025802480115369E-2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1.5025802480115369E-2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1.5025802480115369E-2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1.5025802480115369E-2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1.5025802480115369E-2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1.5025802480115369E-2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1.5025802480115369E-2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1.5025802480115369E-2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1.5025802480115369E-2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1.5025802480115369E-2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1.5025802480115369E-2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1.5025802480115369E-2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1.5025802480115369E-2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1.5025802480115369E-2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1.5025802480115369E-2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1.5025802480115369E-2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1.5025802480115369E-2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1.5025802480115369E-2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1.5025802480115369E-2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1.5025802480115369E-2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1.5025802480115369E-2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2.2956909877432992E-2</v>
      </c>
      <c r="C8" s="7">
        <f>$B8 * IFERROR(VLOOKUP("transport|SO2|Asthma symptoms wheeze", US_national_yearly!$D:$AM, 11, FALSE) / VLOOKUP("transport|SO2|Asthma symptoms wheeze", US_national_yearly!$D:$AM, 10, FALSE), 1)</f>
        <v>2.2956909877432992E-2</v>
      </c>
      <c r="D8" s="7">
        <f>$B8 * IFERROR(VLOOKUP("transport|SO2|Asthma symptoms wheeze", US_national_yearly!$D:$AM, 12, FALSE) / VLOOKUP("transport|SO2|Asthma symptoms wheeze", US_national_yearly!$D:$AM, 10, FALSE), 1)</f>
        <v>2.2956909877432992E-2</v>
      </c>
      <c r="E8" s="7">
        <f>$B8 * IFERROR(VLOOKUP("transport|SO2|Asthma symptoms wheeze", US_national_yearly!$D:$AM, 13, FALSE) / VLOOKUP("transport|SO2|Asthma symptoms wheeze", US_national_yearly!$D:$AM, 10, FALSE), 1)</f>
        <v>2.2956909877432992E-2</v>
      </c>
      <c r="F8" s="7">
        <f>$B8 * IFERROR(VLOOKUP("transport|SO2|Asthma symptoms wheeze", US_national_yearly!$D:$AM, 14, FALSE) / VLOOKUP("transport|SO2|Asthma symptoms wheeze", US_national_yearly!$D:$AM, 10, FALSE), 1)</f>
        <v>2.2956909877432992E-2</v>
      </c>
      <c r="G8" s="7">
        <f>$B8 * IFERROR(VLOOKUP("transport|SO2|Asthma symptoms wheeze", US_national_yearly!$D:$AM, 15, FALSE) / VLOOKUP("transport|SO2|Asthma symptoms wheeze", US_national_yearly!$D:$AM, 10, FALSE), 1)</f>
        <v>2.2956909877432992E-2</v>
      </c>
      <c r="H8" s="7">
        <f>$B8 * IFERROR(VLOOKUP("transport|SO2|Asthma symptoms wheeze", US_national_yearly!$D:$AM, 16, FALSE) / VLOOKUP("transport|SO2|Asthma symptoms wheeze", US_national_yearly!$D:$AM, 10, FALSE), 1)</f>
        <v>2.2956909877432992E-2</v>
      </c>
      <c r="I8" s="7">
        <f>$B8 * IFERROR(VLOOKUP("transport|SO2|Asthma symptoms wheeze", US_national_yearly!$D:$AM, 17, FALSE) / VLOOKUP("transport|SO2|Asthma symptoms wheeze", US_national_yearly!$D:$AM, 10, FALSE), 1)</f>
        <v>2.2956909877432992E-2</v>
      </c>
      <c r="J8" s="7">
        <f>$B8 * IFERROR(VLOOKUP("transport|SO2|Asthma symptoms wheeze", US_national_yearly!$D:$AM, 18, FALSE) / VLOOKUP("transport|SO2|Asthma symptoms wheeze", US_national_yearly!$D:$AM, 10, FALSE), 1)</f>
        <v>2.2956909877432992E-2</v>
      </c>
      <c r="K8" s="7">
        <f>$B8 * IFERROR(VLOOKUP("transport|SO2|Asthma symptoms wheeze", US_national_yearly!$D:$AM, 19, FALSE) / VLOOKUP("transport|SO2|Asthma symptoms wheeze", US_national_yearly!$D:$AM, 10, FALSE), 1)</f>
        <v>2.2956909877432992E-2</v>
      </c>
      <c r="L8" s="7">
        <f>$B8 * IFERROR(VLOOKUP("transport|SO2|Asthma symptoms wheeze", US_national_yearly!$D:$AM, 20, FALSE) / VLOOKUP("transport|SO2|Asthma symptoms wheeze", US_national_yearly!$D:$AM, 10, FALSE), 1)</f>
        <v>2.2956909877432992E-2</v>
      </c>
      <c r="M8" s="7">
        <f>$B8 * IFERROR(VLOOKUP("transport|SO2|Asthma symptoms wheeze", US_national_yearly!$D:$AM, 21, FALSE) / VLOOKUP("transport|SO2|Asthma symptoms wheeze", US_national_yearly!$D:$AM, 10, FALSE), 1)</f>
        <v>2.2956909877432992E-2</v>
      </c>
      <c r="N8" s="7">
        <f>$B8 * IFERROR(VLOOKUP("transport|SO2|Asthma symptoms wheeze", US_national_yearly!$D:$AM, 22, FALSE) / VLOOKUP("transport|SO2|Asthma symptoms wheeze", US_national_yearly!$D:$AM, 10, FALSE), 1)</f>
        <v>2.2956909877432992E-2</v>
      </c>
      <c r="O8" s="7">
        <f>$B8 * IFERROR(VLOOKUP("transport|SO2|Asthma symptoms wheeze", US_national_yearly!$D:$AM, 23, FALSE) / VLOOKUP("transport|SO2|Asthma symptoms wheeze", US_national_yearly!$D:$AM, 10, FALSE), 1)</f>
        <v>2.2956909877432992E-2</v>
      </c>
      <c r="P8" s="7">
        <f>$B8 * IFERROR(VLOOKUP("transport|SO2|Asthma symptoms wheeze", US_national_yearly!$D:$AM, 24, FALSE) / VLOOKUP("transport|SO2|Asthma symptoms wheeze", US_national_yearly!$D:$AM, 10, FALSE), 1)</f>
        <v>2.2956909877432992E-2</v>
      </c>
      <c r="Q8" s="7">
        <f>$B8 * IFERROR(VLOOKUP("transport|SO2|Asthma symptoms wheeze", US_national_yearly!$D:$AM, 25, FALSE) / VLOOKUP("transport|SO2|Asthma symptoms wheeze", US_national_yearly!$D:$AM, 10, FALSE), 1)</f>
        <v>2.2956909877432992E-2</v>
      </c>
      <c r="R8" s="7">
        <f>$B8 * IFERROR(VLOOKUP("transport|SO2|Asthma symptoms wheeze", US_national_yearly!$D:$AM, 26, FALSE) / VLOOKUP("transport|SO2|Asthma symptoms wheeze", US_national_yearly!$D:$AM, 10, FALSE), 1)</f>
        <v>2.2956909877432992E-2</v>
      </c>
      <c r="S8" s="7">
        <f>$B8 * IFERROR(VLOOKUP("transport|SO2|Asthma symptoms wheeze", US_national_yearly!$D:$AM, 27, FALSE) / VLOOKUP("transport|SO2|Asthma symptoms wheeze", US_national_yearly!$D:$AM, 10, FALSE), 1)</f>
        <v>2.2956909877432992E-2</v>
      </c>
      <c r="T8" s="7">
        <f>$B8 * IFERROR(VLOOKUP("transport|SO2|Asthma symptoms wheeze", US_national_yearly!$D:$AM, 28, FALSE) / VLOOKUP("transport|SO2|Asthma symptoms wheeze", US_national_yearly!$D:$AM, 10, FALSE), 1)</f>
        <v>2.2956909877432992E-2</v>
      </c>
      <c r="U8" s="7">
        <f>$B8 * IFERROR(VLOOKUP("transport|SO2|Asthma symptoms wheeze", US_national_yearly!$D:$AM, 29, FALSE) / VLOOKUP("transport|SO2|Asthma symptoms wheeze", US_national_yearly!$D:$AM, 10, FALSE), 1)</f>
        <v>2.2956909877432992E-2</v>
      </c>
      <c r="V8" s="7">
        <f>$B8 * IFERROR(VLOOKUP("transport|SO2|Asthma symptoms wheeze", US_national_yearly!$D:$AM, 30, FALSE) / VLOOKUP("transport|SO2|Asthma symptoms wheeze", US_national_yearly!$D:$AM, 10, FALSE), 1)</f>
        <v>2.2956909877432992E-2</v>
      </c>
      <c r="W8" s="7">
        <f>$B8 * IFERROR(VLOOKUP("transport|SO2|Asthma symptoms wheeze", US_national_yearly!$D:$AM, 31, FALSE) / VLOOKUP("transport|SO2|Asthma symptoms wheeze", US_national_yearly!$D:$AM, 10, FALSE), 1)</f>
        <v>2.2956909877432992E-2</v>
      </c>
      <c r="X8" s="7">
        <f>$B8 * IFERROR(VLOOKUP("transport|SO2|Asthma symptoms wheeze", US_national_yearly!$D:$AM, 32, FALSE) / VLOOKUP("transport|SO2|Asthma symptoms wheeze", US_national_yearly!$D:$AM, 10, FALSE), 1)</f>
        <v>2.2956909877432992E-2</v>
      </c>
      <c r="Y8" s="7">
        <f>$B8 * IFERROR(VLOOKUP("transport|SO2|Asthma symptoms wheeze", US_national_yearly!$D:$AM, 33, FALSE) / VLOOKUP("transport|SO2|Asthma symptoms wheeze", US_national_yearly!$D:$AM, 10, FALSE), 1)</f>
        <v>2.2956909877432992E-2</v>
      </c>
      <c r="Z8" s="7">
        <f>$B8 * IFERROR(VLOOKUP("transport|SO2|Asthma symptoms wheeze", US_national_yearly!$D:$AM, 34, FALSE) / VLOOKUP("transport|SO2|Asthma symptoms wheeze", US_national_yearly!$D:$AM, 10, FALSE), 1)</f>
        <v>2.2956909877432992E-2</v>
      </c>
      <c r="AA8" s="7">
        <f>$B8 * IFERROR(VLOOKUP("transport|SO2|Asthma symptoms wheeze", US_national_yearly!$D:$AM, 35, FALSE) / VLOOKUP("transport|SO2|Asthma symptoms wheeze", US_national_yearly!$D:$AM, 10, FALSE), 1)</f>
        <v>2.2956909877432992E-2</v>
      </c>
      <c r="AB8" s="7">
        <f>$B8 * IFERROR(VLOOKUP("transport|SO2|Asthma symptoms wheeze", US_national_yearly!$D:$AM, 36, FALSE) / VLOOKUP("transport|SO2|Asthma symptoms wheeze", US_national_yearly!$D:$AM, 10, FALSE), 1)</f>
        <v>2.2956909877432992E-2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8.3490571282203842E-4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8.3983002820681824E-4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8.4475434359159818E-4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8.49678658976378E-4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8.5460297436115783E-4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8.5997130871974222E-4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8.6533964307832661E-4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8.7063345993195331E-4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8.7592727678558022E-4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8.8122109363920681E-4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8.8651491049283372E-4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8.9180872734646031E-4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8.9567305023690539E-4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8.9953737312735026E-4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9.0340169601779501E-4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9.072660189082401E-4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9.1113034179868485E-4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9.1481661098001261E-4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9.1850288016134016E-4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9.2218914934266791E-4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9.2587541852399567E-4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9.2956168770532332E-4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9.3305935194492706E-4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9.3655701618453068E-4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9.4005468042413442E-4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9.4355234466373804E-4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9.4705000890334188E-4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5.3317337974385414E-3</v>
      </c>
      <c r="C13" s="7">
        <f>$B13 * IFERROR(VLOOKUP("transport|SO2|Non-fatal heart attacks", US_national_yearly!$D:$AM, 11, FALSE) / VLOOKUP("transport|SO2|Non-fatal heart attacks", US_national_yearly!$D:$AM, 10, FALSE), 1)</f>
        <v>5.4882541358123368E-3</v>
      </c>
      <c r="D13" s="7">
        <f>$B13 * IFERROR(VLOOKUP("transport|SO2|Non-fatal heart attacks", US_national_yearly!$D:$AM, 12, FALSE) / VLOOKUP("transport|SO2|Non-fatal heart attacks", US_national_yearly!$D:$AM, 10, FALSE), 1)</f>
        <v>5.6447744741861313E-3</v>
      </c>
      <c r="E13" s="7">
        <f>$B13 * IFERROR(VLOOKUP("transport|SO2|Non-fatal heart attacks", US_national_yearly!$D:$AM, 13, FALSE) / VLOOKUP("transport|SO2|Non-fatal heart attacks", US_national_yearly!$D:$AM, 10, FALSE), 1)</f>
        <v>5.8012948125599267E-3</v>
      </c>
      <c r="F13" s="7">
        <f>$B13 * IFERROR(VLOOKUP("transport|SO2|Non-fatal heart attacks", US_national_yearly!$D:$AM, 14, FALSE) / VLOOKUP("transport|SO2|Non-fatal heart attacks", US_national_yearly!$D:$AM, 10, FALSE), 1)</f>
        <v>5.9578151509337204E-3</v>
      </c>
      <c r="G13" s="7">
        <f>$B13 * IFERROR(VLOOKUP("transport|SO2|Non-fatal heart attacks", US_national_yearly!$D:$AM, 15, FALSE) / VLOOKUP("transport|SO2|Non-fatal heart attacks", US_national_yearly!$D:$AM, 10, FALSE), 1)</f>
        <v>6.1054283481685049E-3</v>
      </c>
      <c r="H13" s="7">
        <f>$B13 * IFERROR(VLOOKUP("transport|SO2|Non-fatal heart attacks", US_national_yearly!$D:$AM, 16, FALSE) / VLOOKUP("transport|SO2|Non-fatal heart attacks", US_national_yearly!$D:$AM, 10, FALSE), 1)</f>
        <v>6.2530415454032894E-3</v>
      </c>
      <c r="I13" s="7">
        <f>$B13 * IFERROR(VLOOKUP("transport|SO2|Non-fatal heart attacks", US_national_yearly!$D:$AM, 17, FALSE) / VLOOKUP("transport|SO2|Non-fatal heart attacks", US_national_yearly!$D:$AM, 10, FALSE), 1)</f>
        <v>6.3718238945801127E-3</v>
      </c>
      <c r="J13" s="7">
        <f>$B13 * IFERROR(VLOOKUP("transport|SO2|Non-fatal heart attacks", US_national_yearly!$D:$AM, 18, FALSE) / VLOOKUP("transport|SO2|Non-fatal heart attacks", US_national_yearly!$D:$AM, 10, FALSE), 1)</f>
        <v>6.4906062437569377E-3</v>
      </c>
      <c r="K13" s="7">
        <f>$B13 * IFERROR(VLOOKUP("transport|SO2|Non-fatal heart attacks", US_national_yearly!$D:$AM, 19, FALSE) / VLOOKUP("transport|SO2|Non-fatal heart attacks", US_national_yearly!$D:$AM, 10, FALSE), 1)</f>
        <v>6.6093885929337619E-3</v>
      </c>
      <c r="L13" s="7">
        <f>$B13 * IFERROR(VLOOKUP("transport|SO2|Non-fatal heart attacks", US_national_yearly!$D:$AM, 20, FALSE) / VLOOKUP("transport|SO2|Non-fatal heart attacks", US_national_yearly!$D:$AM, 10, FALSE), 1)</f>
        <v>6.7281709421105878E-3</v>
      </c>
      <c r="M13" s="7">
        <f>$B13 * IFERROR(VLOOKUP("transport|SO2|Non-fatal heart attacks", US_national_yearly!$D:$AM, 21, FALSE) / VLOOKUP("transport|SO2|Non-fatal heart attacks", US_national_yearly!$D:$AM, 10, FALSE), 1)</f>
        <v>6.8469532912874128E-3</v>
      </c>
      <c r="N13" s="7">
        <f>$B13 * IFERROR(VLOOKUP("transport|SO2|Non-fatal heart attacks", US_national_yearly!$D:$AM, 22, FALSE) / VLOOKUP("transport|SO2|Non-fatal heart attacks", US_national_yearly!$D:$AM, 10, FALSE), 1)</f>
        <v>6.9240801056891016E-3</v>
      </c>
      <c r="O13" s="7">
        <f>$B13 * IFERROR(VLOOKUP("transport|SO2|Non-fatal heart attacks", US_national_yearly!$D:$AM, 23, FALSE) / VLOOKUP("transport|SO2|Non-fatal heart attacks", US_national_yearly!$D:$AM, 10, FALSE), 1)</f>
        <v>7.0012069200907929E-3</v>
      </c>
      <c r="P13" s="7">
        <f>$B13 * IFERROR(VLOOKUP("transport|SO2|Non-fatal heart attacks", US_national_yearly!$D:$AM, 24, FALSE) / VLOOKUP("transport|SO2|Non-fatal heart attacks", US_national_yearly!$D:$AM, 10, FALSE), 1)</f>
        <v>7.0783337344924833E-3</v>
      </c>
      <c r="Q13" s="7">
        <f>$B13 * IFERROR(VLOOKUP("transport|SO2|Non-fatal heart attacks", US_national_yearly!$D:$AM, 25, FALSE) / VLOOKUP("transport|SO2|Non-fatal heart attacks", US_national_yearly!$D:$AM, 10, FALSE), 1)</f>
        <v>7.1554605488941729E-3</v>
      </c>
      <c r="R13" s="7">
        <f>$B13 * IFERROR(VLOOKUP("transport|SO2|Non-fatal heart attacks", US_national_yearly!$D:$AM, 26, FALSE) / VLOOKUP("transport|SO2|Non-fatal heart attacks", US_national_yearly!$D:$AM, 10, FALSE), 1)</f>
        <v>7.2325873632958625E-3</v>
      </c>
      <c r="S13" s="7">
        <f>$B13 * IFERROR(VLOOKUP("transport|SO2|Non-fatal heart attacks", US_national_yearly!$D:$AM, 27, FALSE) / VLOOKUP("transport|SO2|Non-fatal heart attacks", US_national_yearly!$D:$AM, 10, FALSE), 1)</f>
        <v>7.2728548392729251E-3</v>
      </c>
      <c r="T13" s="7">
        <f>$B13 * IFERROR(VLOOKUP("transport|SO2|Non-fatal heart attacks", US_national_yearly!$D:$AM, 28, FALSE) / VLOOKUP("transport|SO2|Non-fatal heart attacks", US_national_yearly!$D:$AM, 10, FALSE), 1)</f>
        <v>7.3131223152499867E-3</v>
      </c>
      <c r="U13" s="7">
        <f>$B13 * IFERROR(VLOOKUP("transport|SO2|Non-fatal heart attacks", US_national_yearly!$D:$AM, 29, FALSE) / VLOOKUP("transport|SO2|Non-fatal heart attacks", US_national_yearly!$D:$AM, 10, FALSE), 1)</f>
        <v>7.3533897912270475E-3</v>
      </c>
      <c r="V13" s="7">
        <f>$B13 * IFERROR(VLOOKUP("transport|SO2|Non-fatal heart attacks", US_national_yearly!$D:$AM, 30, FALSE) / VLOOKUP("transport|SO2|Non-fatal heart attacks", US_national_yearly!$D:$AM, 10, FALSE), 1)</f>
        <v>7.3936572672041075E-3</v>
      </c>
      <c r="W13" s="7">
        <f>$B13 * IFERROR(VLOOKUP("transport|SO2|Non-fatal heart attacks", US_national_yearly!$D:$AM, 31, FALSE) / VLOOKUP("transport|SO2|Non-fatal heart attacks", US_national_yearly!$D:$AM, 10, FALSE), 1)</f>
        <v>7.4339247431811709E-3</v>
      </c>
      <c r="X13" s="7">
        <f>$B13 * IFERROR(VLOOKUP("transport|SO2|Non-fatal heart attacks", US_national_yearly!$D:$AM, 32, FALSE) / VLOOKUP("transport|SO2|Non-fatal heart attacks", US_national_yearly!$D:$AM, 10, FALSE), 1)</f>
        <v>7.4643231651926514E-3</v>
      </c>
      <c r="Y13" s="7">
        <f>$B13 * IFERROR(VLOOKUP("transport|SO2|Non-fatal heart attacks", US_national_yearly!$D:$AM, 33, FALSE) / VLOOKUP("transport|SO2|Non-fatal heart attacks", US_national_yearly!$D:$AM, 10, FALSE), 1)</f>
        <v>7.494721587204131E-3</v>
      </c>
      <c r="Z13" s="7">
        <f>$B13 * IFERROR(VLOOKUP("transport|SO2|Non-fatal heart attacks", US_national_yearly!$D:$AM, 34, FALSE) / VLOOKUP("transport|SO2|Non-fatal heart attacks", US_national_yearly!$D:$AM, 10, FALSE), 1)</f>
        <v>7.5251200092156115E-3</v>
      </c>
      <c r="AA13" s="7">
        <f>$B13 * IFERROR(VLOOKUP("transport|SO2|Non-fatal heart attacks", US_national_yearly!$D:$AM, 35, FALSE) / VLOOKUP("transport|SO2|Non-fatal heart attacks", US_national_yearly!$D:$AM, 10, FALSE), 1)</f>
        <v>7.555518431227092E-3</v>
      </c>
      <c r="AB13" s="7">
        <f>$B13 * IFERROR(VLOOKUP("transport|SO2|Non-fatal heart attacks", US_national_yearly!$D:$AM, 36, FALSE) / VLOOKUP("transport|SO2|Non-fatal heart attacks", US_national_yearly!$D:$AM, 10, FALSE), 1)</f>
        <v>7.5859168532385716E-3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1.3336873667771292</v>
      </c>
      <c r="C14" s="7">
        <f>$B14 * IFERROR(VLOOKUP("transport|SO2|Minor restricted activity days", US_national_yearly!$D:$AM, 11, FALSE) / VLOOKUP("transport|SO2|Minor restricted activity days", US_national_yearly!$D:$AM, 10, FALSE), 1)</f>
        <v>1.3370491482543831</v>
      </c>
      <c r="D14" s="7">
        <f>$B14 * IFERROR(VLOOKUP("transport|SO2|Minor restricted activity days", US_national_yearly!$D:$AM, 12, FALSE) / VLOOKUP("transport|SO2|Minor restricted activity days", US_national_yearly!$D:$AM, 10, FALSE), 1)</f>
        <v>1.3404109297316369</v>
      </c>
      <c r="E14" s="7">
        <f>$B14 * IFERROR(VLOOKUP("transport|SO2|Minor restricted activity days", US_national_yearly!$D:$AM, 13, FALSE) / VLOOKUP("transport|SO2|Minor restricted activity days", US_national_yearly!$D:$AM, 10, FALSE), 1)</f>
        <v>1.3437727112088911</v>
      </c>
      <c r="F14" s="7">
        <f>$B14 * IFERROR(VLOOKUP("transport|SO2|Minor restricted activity days", US_national_yearly!$D:$AM, 14, FALSE) / VLOOKUP("transport|SO2|Minor restricted activity days", US_national_yearly!$D:$AM, 10, FALSE), 1)</f>
        <v>1.3471344926861448</v>
      </c>
      <c r="G14" s="7">
        <f>$B14 * IFERROR(VLOOKUP("transport|SO2|Minor restricted activity days", US_national_yearly!$D:$AM, 15, FALSE) / VLOOKUP("transport|SO2|Minor restricted activity days", US_national_yearly!$D:$AM, 10, FALSE), 1)</f>
        <v>1.352082704757406</v>
      </c>
      <c r="H14" s="7">
        <f>$B14 * IFERROR(VLOOKUP("transport|SO2|Minor restricted activity days", US_national_yearly!$D:$AM, 16, FALSE) / VLOOKUP("transport|SO2|Minor restricted activity days", US_national_yearly!$D:$AM, 10, FALSE), 1)</f>
        <v>1.3570309168286674</v>
      </c>
      <c r="I14" s="7">
        <f>$B14 * IFERROR(VLOOKUP("transport|SO2|Minor restricted activity days", US_national_yearly!$D:$AM, 17, FALSE) / VLOOKUP("transport|SO2|Minor restricted activity days", US_national_yearly!$D:$AM, 10, FALSE), 1)</f>
        <v>1.3654696312887995</v>
      </c>
      <c r="J14" s="7">
        <f>$B14 * IFERROR(VLOOKUP("transport|SO2|Minor restricted activity days", US_national_yearly!$D:$AM, 18, FALSE) / VLOOKUP("transport|SO2|Minor restricted activity days", US_national_yearly!$D:$AM, 10, FALSE), 1)</f>
        <v>1.3739083457489316</v>
      </c>
      <c r="K14" s="7">
        <f>$B14 * IFERROR(VLOOKUP("transport|SO2|Minor restricted activity days", US_national_yearly!$D:$AM, 19, FALSE) / VLOOKUP("transport|SO2|Minor restricted activity days", US_national_yearly!$D:$AM, 10, FALSE), 1)</f>
        <v>1.3823470602090639</v>
      </c>
      <c r="L14" s="7">
        <f>$B14 * IFERROR(VLOOKUP("transport|SO2|Minor restricted activity days", US_national_yearly!$D:$AM, 20, FALSE) / VLOOKUP("transport|SO2|Minor restricted activity days", US_national_yearly!$D:$AM, 10, FALSE), 1)</f>
        <v>1.3907857746691961</v>
      </c>
      <c r="M14" s="7">
        <f>$B14 * IFERROR(VLOOKUP("transport|SO2|Minor restricted activity days", US_national_yearly!$D:$AM, 21, FALSE) / VLOOKUP("transport|SO2|Minor restricted activity days", US_national_yearly!$D:$AM, 10, FALSE), 1)</f>
        <v>1.3992244891293282</v>
      </c>
      <c r="N14" s="7">
        <f>$B14 * IFERROR(VLOOKUP("transport|SO2|Minor restricted activity days", US_national_yearly!$D:$AM, 22, FALSE) / VLOOKUP("transport|SO2|Minor restricted activity days", US_national_yearly!$D:$AM, 10, FALSE), 1)</f>
        <v>1.4107672964432876</v>
      </c>
      <c r="O14" s="7">
        <f>$B14 * IFERROR(VLOOKUP("transport|SO2|Minor restricted activity days", US_national_yearly!$D:$AM, 23, FALSE) / VLOOKUP("transport|SO2|Minor restricted activity days", US_national_yearly!$D:$AM, 10, FALSE), 1)</f>
        <v>1.4223101037572472</v>
      </c>
      <c r="P14" s="7">
        <f>$B14 * IFERROR(VLOOKUP("transport|SO2|Minor restricted activity days", US_national_yearly!$D:$AM, 24, FALSE) / VLOOKUP("transport|SO2|Minor restricted activity days", US_national_yearly!$D:$AM, 10, FALSE), 1)</f>
        <v>1.4338529110712066</v>
      </c>
      <c r="Q14" s="7">
        <f>$B14 * IFERROR(VLOOKUP("transport|SO2|Minor restricted activity days", US_national_yearly!$D:$AM, 25, FALSE) / VLOOKUP("transport|SO2|Minor restricted activity days", US_national_yearly!$D:$AM, 10, FALSE), 1)</f>
        <v>1.445395718385166</v>
      </c>
      <c r="R14" s="7">
        <f>$B14 * IFERROR(VLOOKUP("transport|SO2|Minor restricted activity days", US_national_yearly!$D:$AM, 26, FALSE) / VLOOKUP("transport|SO2|Minor restricted activity days", US_national_yearly!$D:$AM, 10, FALSE), 1)</f>
        <v>1.4569385256991256</v>
      </c>
      <c r="S14" s="7">
        <f>$B14 * IFERROR(VLOOKUP("transport|SO2|Minor restricted activity days", US_national_yearly!$D:$AM, 27, FALSE) / VLOOKUP("transport|SO2|Minor restricted activity days", US_national_yearly!$D:$AM, 10, FALSE), 1)</f>
        <v>1.4687075474955633</v>
      </c>
      <c r="T14" s="7">
        <f>$B14 * IFERROR(VLOOKUP("transport|SO2|Minor restricted activity days", US_national_yearly!$D:$AM, 28, FALSE) / VLOOKUP("transport|SO2|Minor restricted activity days", US_national_yearly!$D:$AM, 10, FALSE), 1)</f>
        <v>1.4804765692920008</v>
      </c>
      <c r="U14" s="7">
        <f>$B14 * IFERROR(VLOOKUP("transport|SO2|Minor restricted activity days", US_national_yearly!$D:$AM, 29, FALSE) / VLOOKUP("transport|SO2|Minor restricted activity days", US_national_yearly!$D:$AM, 10, FALSE), 1)</f>
        <v>1.4922455910884385</v>
      </c>
      <c r="V14" s="7">
        <f>$B14 * IFERROR(VLOOKUP("transport|SO2|Minor restricted activity days", US_national_yearly!$D:$AM, 30, FALSE) / VLOOKUP("transport|SO2|Minor restricted activity days", US_national_yearly!$D:$AM, 10, FALSE), 1)</f>
        <v>1.5040146128848761</v>
      </c>
      <c r="W14" s="7">
        <f>$B14 * IFERROR(VLOOKUP("transport|SO2|Minor restricted activity days", US_national_yearly!$D:$AM, 31, FALSE) / VLOOKUP("transport|SO2|Minor restricted activity days", US_national_yearly!$D:$AM, 10, FALSE), 1)</f>
        <v>1.5157836346813141</v>
      </c>
      <c r="X14" s="7">
        <f>$B14 * IFERROR(VLOOKUP("transport|SO2|Minor restricted activity days", US_national_yearly!$D:$AM, 32, FALSE) / VLOOKUP("transport|SO2|Minor restricted activity days", US_national_yearly!$D:$AM, 10, FALSE), 1)</f>
        <v>1.5261335514918637</v>
      </c>
      <c r="Y14" s="7">
        <f>$B14 * IFERROR(VLOOKUP("transport|SO2|Minor restricted activity days", US_national_yearly!$D:$AM, 33, FALSE) / VLOOKUP("transport|SO2|Minor restricted activity days", US_national_yearly!$D:$AM, 10, FALSE), 1)</f>
        <v>1.5364834683024133</v>
      </c>
      <c r="Z14" s="7">
        <f>$B14 * IFERROR(VLOOKUP("transport|SO2|Minor restricted activity days", US_national_yearly!$D:$AM, 34, FALSE) / VLOOKUP("transport|SO2|Minor restricted activity days", US_national_yearly!$D:$AM, 10, FALSE), 1)</f>
        <v>1.5468333851129632</v>
      </c>
      <c r="AA14" s="7">
        <f>$B14 * IFERROR(VLOOKUP("transport|SO2|Minor restricted activity days", US_national_yearly!$D:$AM, 35, FALSE) / VLOOKUP("transport|SO2|Minor restricted activity days", US_national_yearly!$D:$AM, 10, FALSE), 1)</f>
        <v>1.5571833019235128</v>
      </c>
      <c r="AB14" s="7">
        <f>$B14 * IFERROR(VLOOKUP("transport|SO2|Minor restricted activity days", US_national_yearly!$D:$AM, 36, FALSE) / VLOOKUP("transport|SO2|Minor restricted activity days", US_national_yearly!$D:$AM, 10, FALSE), 1)</f>
        <v>1.5675332187340627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0.227129998561064</v>
      </c>
      <c r="C15" s="7">
        <f>$B15 * IFERROR(VLOOKUP("transport|SO2|Work loss days", US_national_yearly!$D:$AM, 11, FALSE) / VLOOKUP("transport|SO2|Work loss days", US_national_yearly!$D:$AM, 10, FALSE), 1)</f>
        <v>0.2278658636572817</v>
      </c>
      <c r="D15" s="7">
        <f>$B15 * IFERROR(VLOOKUP("transport|SO2|Work loss days", US_national_yearly!$D:$AM, 12, FALSE) / VLOOKUP("transport|SO2|Work loss days", US_national_yearly!$D:$AM, 10, FALSE), 1)</f>
        <v>0.22860172875349941</v>
      </c>
      <c r="E15" s="7">
        <f>$B15 * IFERROR(VLOOKUP("transport|SO2|Work loss days", US_national_yearly!$D:$AM, 13, FALSE) / VLOOKUP("transport|SO2|Work loss days", US_national_yearly!$D:$AM, 10, FALSE), 1)</f>
        <v>0.22933759384971714</v>
      </c>
      <c r="F15" s="7">
        <f>$B15 * IFERROR(VLOOKUP("transport|SO2|Work loss days", US_national_yearly!$D:$AM, 14, FALSE) / VLOOKUP("transport|SO2|Work loss days", US_national_yearly!$D:$AM, 10, FALSE), 1)</f>
        <v>0.23007345894593484</v>
      </c>
      <c r="G15" s="7">
        <f>$B15 * IFERROR(VLOOKUP("transport|SO2|Work loss days", US_national_yearly!$D:$AM, 15, FALSE) / VLOOKUP("transport|SO2|Work loss days", US_national_yearly!$D:$AM, 10, FALSE), 1)</f>
        <v>0.23103495673299271</v>
      </c>
      <c r="H15" s="7">
        <f>$B15 * IFERROR(VLOOKUP("transport|SO2|Work loss days", US_national_yearly!$D:$AM, 16, FALSE) / VLOOKUP("transport|SO2|Work loss days", US_national_yearly!$D:$AM, 10, FALSE), 1)</f>
        <v>0.23199645452005049</v>
      </c>
      <c r="I15" s="7">
        <f>$B15 * IFERROR(VLOOKUP("transport|SO2|Work loss days", US_national_yearly!$D:$AM, 17, FALSE) / VLOOKUP("transport|SO2|Work loss days", US_national_yearly!$D:$AM, 10, FALSE), 1)</f>
        <v>0.23340299671075002</v>
      </c>
      <c r="J15" s="7">
        <f>$B15 * IFERROR(VLOOKUP("transport|SO2|Work loss days", US_national_yearly!$D:$AM, 18, FALSE) / VLOOKUP("transport|SO2|Work loss days", US_national_yearly!$D:$AM, 10, FALSE), 1)</f>
        <v>0.23480953890144948</v>
      </c>
      <c r="K15" s="7">
        <f>$B15 * IFERROR(VLOOKUP("transport|SO2|Work loss days", US_national_yearly!$D:$AM, 19, FALSE) / VLOOKUP("transport|SO2|Work loss days", US_national_yearly!$D:$AM, 10, FALSE), 1)</f>
        <v>0.23621608109214901</v>
      </c>
      <c r="L15" s="7">
        <f>$B15 * IFERROR(VLOOKUP("transport|SO2|Work loss days", US_national_yearly!$D:$AM, 20, FALSE) / VLOOKUP("transport|SO2|Work loss days", US_national_yearly!$D:$AM, 10, FALSE), 1)</f>
        <v>0.23762262328284853</v>
      </c>
      <c r="M15" s="7">
        <f>$B15 * IFERROR(VLOOKUP("transport|SO2|Work loss days", US_national_yearly!$D:$AM, 21, FALSE) / VLOOKUP("transport|SO2|Work loss days", US_national_yearly!$D:$AM, 10, FALSE), 1)</f>
        <v>0.23902916547354805</v>
      </c>
      <c r="N15" s="7">
        <f>$B15 * IFERROR(VLOOKUP("transport|SO2|Work loss days", US_national_yearly!$D:$AM, 22, FALSE) / VLOOKUP("transport|SO2|Work loss days", US_national_yearly!$D:$AM, 10, FALSE), 1)</f>
        <v>0.24079274144971005</v>
      </c>
      <c r="O15" s="7">
        <f>$B15 * IFERROR(VLOOKUP("transport|SO2|Work loss days", US_national_yearly!$D:$AM, 23, FALSE) / VLOOKUP("transport|SO2|Work loss days", US_national_yearly!$D:$AM, 10, FALSE), 1)</f>
        <v>0.24255631742587205</v>
      </c>
      <c r="P15" s="7">
        <f>$B15 * IFERROR(VLOOKUP("transport|SO2|Work loss days", US_national_yearly!$D:$AM, 24, FALSE) / VLOOKUP("transport|SO2|Work loss days", US_national_yearly!$D:$AM, 10, FALSE), 1)</f>
        <v>0.244319893402034</v>
      </c>
      <c r="Q15" s="7">
        <f>$B15 * IFERROR(VLOOKUP("transport|SO2|Work loss days", US_national_yearly!$D:$AM, 25, FALSE) / VLOOKUP("transport|SO2|Work loss days", US_national_yearly!$D:$AM, 10, FALSE), 1)</f>
        <v>0.24608346937819597</v>
      </c>
      <c r="R15" s="7">
        <f>$B15 * IFERROR(VLOOKUP("transport|SO2|Work loss days", US_national_yearly!$D:$AM, 26, FALSE) / VLOOKUP("transport|SO2|Work loss days", US_national_yearly!$D:$AM, 10, FALSE), 1)</f>
        <v>0.24784704535435798</v>
      </c>
      <c r="S15" s="7">
        <f>$B15 * IFERROR(VLOOKUP("transport|SO2|Work loss days", US_national_yearly!$D:$AM, 27, FALSE) / VLOOKUP("transport|SO2|Work loss days", US_national_yearly!$D:$AM, 10, FALSE), 1)</f>
        <v>0.24981783569328328</v>
      </c>
      <c r="T15" s="7">
        <f>$B15 * IFERROR(VLOOKUP("transport|SO2|Work loss days", US_national_yearly!$D:$AM, 28, FALSE) / VLOOKUP("transport|SO2|Work loss days", US_national_yearly!$D:$AM, 10, FALSE), 1)</f>
        <v>0.25178862603220858</v>
      </c>
      <c r="U15" s="7">
        <f>$B15 * IFERROR(VLOOKUP("transport|SO2|Work loss days", US_national_yearly!$D:$AM, 29, FALSE) / VLOOKUP("transport|SO2|Work loss days", US_national_yearly!$D:$AM, 10, FALSE), 1)</f>
        <v>0.25375941637113392</v>
      </c>
      <c r="V15" s="7">
        <f>$B15 * IFERROR(VLOOKUP("transport|SO2|Work loss days", US_national_yearly!$D:$AM, 30, FALSE) / VLOOKUP("transport|SO2|Work loss days", US_national_yearly!$D:$AM, 10, FALSE), 1)</f>
        <v>0.25573020671005919</v>
      </c>
      <c r="W15" s="7">
        <f>$B15 * IFERROR(VLOOKUP("transport|SO2|Work loss days", US_national_yearly!$D:$AM, 31, FALSE) / VLOOKUP("transport|SO2|Work loss days", US_national_yearly!$D:$AM, 10, FALSE), 1)</f>
        <v>0.25770099704898453</v>
      </c>
      <c r="X15" s="7">
        <f>$B15 * IFERROR(VLOOKUP("transport|SO2|Work loss days", US_national_yearly!$D:$AM, 32, FALSE) / VLOOKUP("transport|SO2|Work loss days", US_national_yearly!$D:$AM, 10, FALSE), 1)</f>
        <v>0.25947049512626952</v>
      </c>
      <c r="Y15" s="7">
        <f>$B15 * IFERROR(VLOOKUP("transport|SO2|Work loss days", US_national_yearly!$D:$AM, 33, FALSE) / VLOOKUP("transport|SO2|Work loss days", US_national_yearly!$D:$AM, 10, FALSE), 1)</f>
        <v>0.26123999320355451</v>
      </c>
      <c r="Z15" s="7">
        <f>$B15 * IFERROR(VLOOKUP("transport|SO2|Work loss days", US_national_yearly!$D:$AM, 34, FALSE) / VLOOKUP("transport|SO2|Work loss days", US_national_yearly!$D:$AM, 10, FALSE), 1)</f>
        <v>0.26300949128083956</v>
      </c>
      <c r="AA15" s="7">
        <f>$B15 * IFERROR(VLOOKUP("transport|SO2|Work loss days", US_national_yearly!$D:$AM, 35, FALSE) / VLOOKUP("transport|SO2|Work loss days", US_national_yearly!$D:$AM, 10, FALSE), 1)</f>
        <v>0.26477898935812461</v>
      </c>
      <c r="AB15" s="7">
        <f>$B15 * IFERROR(VLOOKUP("transport|SO2|Work loss days", US_national_yearly!$D:$AM, 36, FALSE) / VLOOKUP("transport|SO2|Work loss days", US_national_yearly!$D:$AM, 10, FALSE), 1)</f>
        <v>0.2665484874354096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1.3189828964471054E-3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1.3588739901774854E-3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1.3987650839078654E-3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1.4386561776382457E-3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1.4785472713686259E-3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1.5167591461121897E-3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1.5549710208557538E-3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1.5877111405287281E-3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1.6204512602017024E-3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1.6531913798746767E-3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1.685931499547651E-3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1.7186716192206248E-3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1.7406655217764833E-3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1.7626594243323414E-3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1.7846533268881996E-3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1.8066472294440577E-3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1.8286411319999162E-3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1.8402083587769731E-3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1.8517755855540299E-3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1.8633428123310868E-3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1.8749100391081436E-3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1.8864772658852005E-3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1.8942427276039415E-3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1.9020081893226825E-3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1.9097736510414233E-3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1.9175391127601647E-3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1.9253045744789053E-3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7.7288390754116235E-3</v>
      </c>
      <c r="C2" s="7">
        <f>$B2 * IFERROR(VLOOKUP("electricity|PM25|Premature mortality", US_national_yearly!$D:$AM, 11, FALSE) / VLOOKUP("electricity|PM25|Premature mortality", US_national_yearly!$D:$AM, 10, FALSE), 1)</f>
        <v>7.8245703136366907E-3</v>
      </c>
      <c r="D2" s="7">
        <f>$B2 * IFERROR(VLOOKUP("electricity|PM25|Premature mortality", US_national_yearly!$D:$AM, 12, FALSE) / VLOOKUP("electricity|PM25|Premature mortality", US_national_yearly!$D:$AM, 10, FALSE), 1)</f>
        <v>7.9203015518617588E-3</v>
      </c>
      <c r="E2" s="7">
        <f>$B2 * IFERROR(VLOOKUP("electricity|PM25|Premature mortality", US_national_yearly!$D:$AM, 13, FALSE) / VLOOKUP("electricity|PM25|Premature mortality", US_national_yearly!$D:$AM, 10, FALSE), 1)</f>
        <v>8.0160327900868251E-3</v>
      </c>
      <c r="F2" s="7">
        <f>$B2 * IFERROR(VLOOKUP("electricity|PM25|Premature mortality", US_national_yearly!$D:$AM, 14, FALSE) / VLOOKUP("electricity|PM25|Premature mortality", US_national_yearly!$D:$AM, 10, FALSE), 1)</f>
        <v>8.111764028311895E-3</v>
      </c>
      <c r="G2" s="7">
        <f>$B2 * IFERROR(VLOOKUP("electricity|PM25|Premature mortality", US_national_yearly!$D:$AM, 15, FALSE) / VLOOKUP("electricity|PM25|Premature mortality", US_national_yearly!$D:$AM, 10, FALSE), 1)</f>
        <v>8.2997852713335308E-3</v>
      </c>
      <c r="H2" s="7">
        <f>$B2 * IFERROR(VLOOKUP("electricity|PM25|Premature mortality", US_national_yearly!$D:$AM, 16, FALSE) / VLOOKUP("electricity|PM25|Premature mortality", US_national_yearly!$D:$AM, 10, FALSE), 1)</f>
        <v>8.4878065143551683E-3</v>
      </c>
      <c r="I2" s="7">
        <f>$B2 * IFERROR(VLOOKUP("electricity|PM25|Premature mortality", US_national_yearly!$D:$AM, 17, FALSE) / VLOOKUP("electricity|PM25|Premature mortality", US_national_yearly!$D:$AM, 10, FALSE), 1)</f>
        <v>8.6141395846639299E-3</v>
      </c>
      <c r="J2" s="7">
        <f>$B2 * IFERROR(VLOOKUP("electricity|PM25|Premature mortality", US_national_yearly!$D:$AM, 18, FALSE) / VLOOKUP("electricity|PM25|Premature mortality", US_national_yearly!$D:$AM, 10, FALSE), 1)</f>
        <v>8.740472654972695E-3</v>
      </c>
      <c r="K2" s="7">
        <f>$B2 * IFERROR(VLOOKUP("electricity|PM25|Premature mortality", US_national_yearly!$D:$AM, 19, FALSE) / VLOOKUP("electricity|PM25|Premature mortality", US_national_yearly!$D:$AM, 10, FALSE), 1)</f>
        <v>8.8668057252814583E-3</v>
      </c>
      <c r="L2" s="7">
        <f>$B2 * IFERROR(VLOOKUP("electricity|PM25|Premature mortality", US_national_yearly!$D:$AM, 20, FALSE) / VLOOKUP("electricity|PM25|Premature mortality", US_national_yearly!$D:$AM, 10, FALSE), 1)</f>
        <v>8.9931387955902234E-3</v>
      </c>
      <c r="M2" s="7">
        <f>$B2 * IFERROR(VLOOKUP("electricity|PM25|Premature mortality", US_national_yearly!$D:$AM, 21, FALSE) / VLOOKUP("electricity|PM25|Premature mortality", US_national_yearly!$D:$AM, 10, FALSE), 1)</f>
        <v>9.1194718658989867E-3</v>
      </c>
      <c r="N2" s="7">
        <f>$B2 * IFERROR(VLOOKUP("electricity|PM25|Premature mortality", US_national_yearly!$D:$AM, 22, FALSE) / VLOOKUP("electricity|PM25|Premature mortality", US_national_yearly!$D:$AM, 10, FALSE), 1)</f>
        <v>9.220173625923209E-3</v>
      </c>
      <c r="O2" s="7">
        <f>$B2 * IFERROR(VLOOKUP("electricity|PM25|Premature mortality", US_national_yearly!$D:$AM, 23, FALSE) / VLOOKUP("electricity|PM25|Premature mortality", US_national_yearly!$D:$AM, 10, FALSE), 1)</f>
        <v>9.3208753859474296E-3</v>
      </c>
      <c r="P2" s="7">
        <f>$B2 * IFERROR(VLOOKUP("electricity|PM25|Premature mortality", US_national_yearly!$D:$AM, 24, FALSE) / VLOOKUP("electricity|PM25|Premature mortality", US_national_yearly!$D:$AM, 10, FALSE), 1)</f>
        <v>9.4215771459716519E-3</v>
      </c>
      <c r="Q2" s="7">
        <f>$B2 * IFERROR(VLOOKUP("electricity|PM25|Premature mortality", US_national_yearly!$D:$AM, 25, FALSE) / VLOOKUP("electricity|PM25|Premature mortality", US_national_yearly!$D:$AM, 10, FALSE), 1)</f>
        <v>9.5222789059958707E-3</v>
      </c>
      <c r="R2" s="7">
        <f>$B2 * IFERROR(VLOOKUP("electricity|PM25|Premature mortality", US_national_yearly!$D:$AM, 26, FALSE) / VLOOKUP("electricity|PM25|Premature mortality", US_national_yearly!$D:$AM, 10, FALSE), 1)</f>
        <v>9.622980666020093E-3</v>
      </c>
      <c r="S2" s="7">
        <f>$B2 * IFERROR(VLOOKUP("electricity|PM25|Premature mortality", US_national_yearly!$D:$AM, 27, FALSE) / VLOOKUP("electricity|PM25|Premature mortality", US_national_yearly!$D:$AM, 10, FALSE), 1)</f>
        <v>9.6806027528420248E-3</v>
      </c>
      <c r="T2" s="7">
        <f>$B2 * IFERROR(VLOOKUP("electricity|PM25|Premature mortality", US_national_yearly!$D:$AM, 28, FALSE) / VLOOKUP("electricity|PM25|Premature mortality", US_national_yearly!$D:$AM, 10, FALSE), 1)</f>
        <v>9.7382248396639549E-3</v>
      </c>
      <c r="U2" s="7">
        <f>$B2 * IFERROR(VLOOKUP("electricity|PM25|Premature mortality", US_national_yearly!$D:$AM, 29, FALSE) / VLOOKUP("electricity|PM25|Premature mortality", US_national_yearly!$D:$AM, 10, FALSE), 1)</f>
        <v>9.7958469264858884E-3</v>
      </c>
      <c r="V2" s="7">
        <f>$B2 * IFERROR(VLOOKUP("electricity|PM25|Premature mortality", US_national_yearly!$D:$AM, 30, FALSE) / VLOOKUP("electricity|PM25|Premature mortality", US_national_yearly!$D:$AM, 10, FALSE), 1)</f>
        <v>9.8534690133078185E-3</v>
      </c>
      <c r="W2" s="7">
        <f>$B2 * IFERROR(VLOOKUP("electricity|PM25|Premature mortality", US_national_yearly!$D:$AM, 31, FALSE) / VLOOKUP("electricity|PM25|Premature mortality", US_national_yearly!$D:$AM, 10, FALSE), 1)</f>
        <v>9.9110911001297503E-3</v>
      </c>
      <c r="X2" s="7">
        <f>$B2 * IFERROR(VLOOKUP("electricity|PM25|Premature mortality", US_national_yearly!$D:$AM, 32, FALSE) / VLOOKUP("electricity|PM25|Premature mortality", US_national_yearly!$D:$AM, 10, FALSE), 1)</f>
        <v>9.9270981432879376E-3</v>
      </c>
      <c r="Y2" s="7">
        <f>$B2 * IFERROR(VLOOKUP("electricity|PM25|Premature mortality", US_national_yearly!$D:$AM, 33, FALSE) / VLOOKUP("electricity|PM25|Premature mortality", US_national_yearly!$D:$AM, 10, FALSE), 1)</f>
        <v>9.9431051864461231E-3</v>
      </c>
      <c r="Z2" s="7">
        <f>$B2 * IFERROR(VLOOKUP("electricity|PM25|Premature mortality", US_national_yearly!$D:$AM, 34, FALSE) / VLOOKUP("electricity|PM25|Premature mortality", US_national_yearly!$D:$AM, 10, FALSE), 1)</f>
        <v>9.9591122296043104E-3</v>
      </c>
      <c r="AA2" s="7">
        <f>$B2 * IFERROR(VLOOKUP("electricity|PM25|Premature mortality", US_national_yearly!$D:$AM, 35, FALSE) / VLOOKUP("electricity|PM25|Premature mortality", US_national_yearly!$D:$AM, 10, FALSE), 1)</f>
        <v>9.9751192727624977E-3</v>
      </c>
      <c r="AB2" s="7">
        <f>$B2 * IFERROR(VLOOKUP("electricity|PM25|Premature mortality", US_national_yearly!$D:$AM, 36, FALSE) / VLOOKUP("electricity|PM25|Premature mortality", US_national_yearly!$D:$AM, 10, FALSE), 1)</f>
        <v>9.9911263159206849E-3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2.3859107074771185E-5</v>
      </c>
      <c r="C3" s="7">
        <f>$B3 * IFERROR(VLOOKUP("electricity|PM25|Infant mortality", US_national_yearly!$D:$AM, 11, FALSE) / VLOOKUP("electricity|PM25|Infant mortality", US_national_yearly!$D:$AM, 10, FALSE), 1)</f>
        <v>2.3651222734927196E-5</v>
      </c>
      <c r="D3" s="7">
        <f>$B3 * IFERROR(VLOOKUP("electricity|PM25|Infant mortality", US_national_yearly!$D:$AM, 12, FALSE) / VLOOKUP("electricity|PM25|Infant mortality", US_national_yearly!$D:$AM, 10, FALSE), 1)</f>
        <v>2.3443338395083214E-5</v>
      </c>
      <c r="E3" s="7">
        <f>$B3 * IFERROR(VLOOKUP("electricity|PM25|Infant mortality", US_national_yearly!$D:$AM, 13, FALSE) / VLOOKUP("electricity|PM25|Infant mortality", US_national_yearly!$D:$AM, 10, FALSE), 1)</f>
        <v>2.3235454055239225E-5</v>
      </c>
      <c r="F3" s="7">
        <f>$B3 * IFERROR(VLOOKUP("electricity|PM25|Infant mortality", US_national_yearly!$D:$AM, 14, FALSE) / VLOOKUP("electricity|PM25|Infant mortality", US_national_yearly!$D:$AM, 10, FALSE), 1)</f>
        <v>2.3027569715395236E-5</v>
      </c>
      <c r="G3" s="7">
        <f>$B3 * IFERROR(VLOOKUP("electricity|PM25|Infant mortality", US_national_yearly!$D:$AM, 15, FALSE) / VLOOKUP("electricity|PM25|Infant mortality", US_national_yearly!$D:$AM, 10, FALSE), 1)</f>
        <v>1.5271166502385003E-5</v>
      </c>
      <c r="H3" s="7">
        <f>$B3 * IFERROR(VLOOKUP("electricity|PM25|Infant mortality", US_national_yearly!$D:$AM, 16, FALSE) / VLOOKUP("electricity|PM25|Infant mortality", US_national_yearly!$D:$AM, 10, FALSE), 1)</f>
        <v>7.5147632893747678E-6</v>
      </c>
      <c r="I3" s="7">
        <f>$B3 * IFERROR(VLOOKUP("electricity|PM25|Infant mortality", US_national_yearly!$D:$AM, 17, FALSE) / VLOOKUP("electricity|PM25|Infant mortality", US_national_yearly!$D:$AM, 10, FALSE), 1)</f>
        <v>7.4617056171043634E-6</v>
      </c>
      <c r="J3" s="7">
        <f>$B3 * IFERROR(VLOOKUP("electricity|PM25|Infant mortality", US_national_yearly!$D:$AM, 18, FALSE) / VLOOKUP("electricity|PM25|Infant mortality", US_national_yearly!$D:$AM, 10, FALSE), 1)</f>
        <v>7.4086479448339615E-6</v>
      </c>
      <c r="K3" s="7">
        <f>$B3 * IFERROR(VLOOKUP("electricity|PM25|Infant mortality", US_national_yearly!$D:$AM, 19, FALSE) / VLOOKUP("electricity|PM25|Infant mortality", US_national_yearly!$D:$AM, 10, FALSE), 1)</f>
        <v>7.3555902725635562E-6</v>
      </c>
      <c r="L3" s="7">
        <f>$B3 * IFERROR(VLOOKUP("electricity|PM25|Infant mortality", US_national_yearly!$D:$AM, 20, FALSE) / VLOOKUP("electricity|PM25|Infant mortality", US_national_yearly!$D:$AM, 10, FALSE), 1)</f>
        <v>7.3025326002931527E-6</v>
      </c>
      <c r="M3" s="7">
        <f>$B3 * IFERROR(VLOOKUP("electricity|PM25|Infant mortality", US_national_yearly!$D:$AM, 21, FALSE) / VLOOKUP("electricity|PM25|Infant mortality", US_national_yearly!$D:$AM, 10, FALSE), 1)</f>
        <v>7.2494749280227491E-6</v>
      </c>
      <c r="N3" s="7">
        <f>$B3 * IFERROR(VLOOKUP("electricity|PM25|Infant mortality", US_national_yearly!$D:$AM, 22, FALSE) / VLOOKUP("electricity|PM25|Infant mortality", US_national_yearly!$D:$AM, 10, FALSE), 1)</f>
        <v>7.2153518004080836E-6</v>
      </c>
      <c r="O3" s="7">
        <f>$B3 * IFERROR(VLOOKUP("electricity|PM25|Infant mortality", US_national_yearly!$D:$AM, 23, FALSE) / VLOOKUP("electricity|PM25|Infant mortality", US_national_yearly!$D:$AM, 10, FALSE), 1)</f>
        <v>7.1812286727934181E-6</v>
      </c>
      <c r="P3" s="7">
        <f>$B3 * IFERROR(VLOOKUP("electricity|PM25|Infant mortality", US_national_yearly!$D:$AM, 24, FALSE) / VLOOKUP("electricity|PM25|Infant mortality", US_national_yearly!$D:$AM, 10, FALSE), 1)</f>
        <v>7.1471055451787509E-6</v>
      </c>
      <c r="Q3" s="7">
        <f>$B3 * IFERROR(VLOOKUP("electricity|PM25|Infant mortality", US_national_yearly!$D:$AM, 25, FALSE) / VLOOKUP("electricity|PM25|Infant mortality", US_national_yearly!$D:$AM, 10, FALSE), 1)</f>
        <v>7.1129824175640854E-6</v>
      </c>
      <c r="R3" s="7">
        <f>$B3 * IFERROR(VLOOKUP("electricity|PM25|Infant mortality", US_national_yearly!$D:$AM, 26, FALSE) / VLOOKUP("electricity|PM25|Infant mortality", US_national_yearly!$D:$AM, 10, FALSE), 1)</f>
        <v>7.0788592899494182E-6</v>
      </c>
      <c r="S3" s="7">
        <f>$B3 * IFERROR(VLOOKUP("electricity|PM25|Infant mortality", US_national_yearly!$D:$AM, 27, FALSE) / VLOOKUP("electricity|PM25|Infant mortality", US_national_yearly!$D:$AM, 10, FALSE), 1)</f>
        <v>7.0379790205339924E-6</v>
      </c>
      <c r="T3" s="7">
        <f>$B3 * IFERROR(VLOOKUP("electricity|PM25|Infant mortality", US_national_yearly!$D:$AM, 28, FALSE) / VLOOKUP("electricity|PM25|Infant mortality", US_national_yearly!$D:$AM, 10, FALSE), 1)</f>
        <v>6.9970987511185665E-6</v>
      </c>
      <c r="U3" s="7">
        <f>$B3 * IFERROR(VLOOKUP("electricity|PM25|Infant mortality", US_national_yearly!$D:$AM, 29, FALSE) / VLOOKUP("electricity|PM25|Infant mortality", US_national_yearly!$D:$AM, 10, FALSE), 1)</f>
        <v>6.9562184817031424E-6</v>
      </c>
      <c r="V3" s="7">
        <f>$B3 * IFERROR(VLOOKUP("electricity|PM25|Infant mortality", US_national_yearly!$D:$AM, 30, FALSE) / VLOOKUP("electricity|PM25|Infant mortality", US_national_yearly!$D:$AM, 10, FALSE), 1)</f>
        <v>6.9153382122877157E-6</v>
      </c>
      <c r="W3" s="7">
        <f>$B3 * IFERROR(VLOOKUP("electricity|PM25|Infant mortality", US_national_yearly!$D:$AM, 31, FALSE) / VLOOKUP("electricity|PM25|Infant mortality", US_national_yearly!$D:$AM, 10, FALSE), 1)</f>
        <v>6.8744579428722899E-6</v>
      </c>
      <c r="X3" s="7">
        <f>$B3 * IFERROR(VLOOKUP("electricity|PM25|Infant mortality", US_national_yearly!$D:$AM, 32, FALSE) / VLOOKUP("electricity|PM25|Infant mortality", US_national_yearly!$D:$AM, 10, FALSE), 1)</f>
        <v>6.8322132885663867E-6</v>
      </c>
      <c r="Y3" s="7">
        <f>$B3 * IFERROR(VLOOKUP("electricity|PM25|Infant mortality", US_national_yearly!$D:$AM, 33, FALSE) / VLOOKUP("electricity|PM25|Infant mortality", US_national_yearly!$D:$AM, 10, FALSE), 1)</f>
        <v>6.7899686342604827E-6</v>
      </c>
      <c r="Z3" s="7">
        <f>$B3 * IFERROR(VLOOKUP("electricity|PM25|Infant mortality", US_national_yearly!$D:$AM, 34, FALSE) / VLOOKUP("electricity|PM25|Infant mortality", US_national_yearly!$D:$AM, 10, FALSE), 1)</f>
        <v>6.7477239799545795E-6</v>
      </c>
      <c r="AA3" s="7">
        <f>$B3 * IFERROR(VLOOKUP("electricity|PM25|Infant mortality", US_national_yearly!$D:$AM, 35, FALSE) / VLOOKUP("electricity|PM25|Infant mortality", US_national_yearly!$D:$AM, 10, FALSE), 1)</f>
        <v>6.7054793256486755E-6</v>
      </c>
      <c r="AB3" s="7">
        <f>$B3 * IFERROR(VLOOKUP("electricity|PM25|Infant mortality", US_national_yearly!$D:$AM, 36, FALSE) / VLOOKUP("electricity|PM25|Infant mortality", US_national_yearly!$D:$AM, 10, FALSE), 1)</f>
        <v>6.6632346713427715E-6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1.8192924841353871E-2</v>
      </c>
      <c r="C6" s="7">
        <f>$B6 * IFERROR(VLOOKUP("electricity|PM25|Asthma symptoms cough", US_national_yearly!$D:$AM, 11, FALSE) / VLOOKUP("electricity|PM25|Asthma symptoms cough", US_national_yearly!$D:$AM, 10, FALSE), 1)</f>
        <v>1.8192924841353871E-2</v>
      </c>
      <c r="D6" s="7">
        <f>$B6 * IFERROR(VLOOKUP("electricity|PM25|Asthma symptoms cough", US_national_yearly!$D:$AM, 12, FALSE) / VLOOKUP("electricity|PM25|Asthma symptoms cough", US_national_yearly!$D:$AM, 10, FALSE), 1)</f>
        <v>1.8192924841353871E-2</v>
      </c>
      <c r="E6" s="7">
        <f>$B6 * IFERROR(VLOOKUP("electricity|PM25|Asthma symptoms cough", US_national_yearly!$D:$AM, 13, FALSE) / VLOOKUP("electricity|PM25|Asthma symptoms cough", US_national_yearly!$D:$AM, 10, FALSE), 1)</f>
        <v>1.8192924841353871E-2</v>
      </c>
      <c r="F6" s="7">
        <f>$B6 * IFERROR(VLOOKUP("electricity|PM25|Asthma symptoms cough", US_national_yearly!$D:$AM, 14, FALSE) / VLOOKUP("electricity|PM25|Asthma symptoms cough", US_national_yearly!$D:$AM, 10, FALSE), 1)</f>
        <v>1.8192924841353871E-2</v>
      </c>
      <c r="G6" s="7">
        <f>$B6 * IFERROR(VLOOKUP("electricity|PM25|Asthma symptoms cough", US_national_yearly!$D:$AM, 15, FALSE) / VLOOKUP("electricity|PM25|Asthma symptoms cough", US_national_yearly!$D:$AM, 10, FALSE), 1)</f>
        <v>1.8192924841353871E-2</v>
      </c>
      <c r="H6" s="7">
        <f>$B6 * IFERROR(VLOOKUP("electricity|PM25|Asthma symptoms cough", US_national_yearly!$D:$AM, 16, FALSE) / VLOOKUP("electricity|PM25|Asthma symptoms cough", US_national_yearly!$D:$AM, 10, FALSE), 1)</f>
        <v>1.8192924841353871E-2</v>
      </c>
      <c r="I6" s="7">
        <f>$B6 * IFERROR(VLOOKUP("electricity|PM25|Asthma symptoms cough", US_national_yearly!$D:$AM, 17, FALSE) / VLOOKUP("electricity|PM25|Asthma symptoms cough", US_national_yearly!$D:$AM, 10, FALSE), 1)</f>
        <v>1.8192924841353871E-2</v>
      </c>
      <c r="J6" s="7">
        <f>$B6 * IFERROR(VLOOKUP("electricity|PM25|Asthma symptoms cough", US_national_yearly!$D:$AM, 18, FALSE) / VLOOKUP("electricity|PM25|Asthma symptoms cough", US_national_yearly!$D:$AM, 10, FALSE), 1)</f>
        <v>1.8192924841353871E-2</v>
      </c>
      <c r="K6" s="7">
        <f>$B6 * IFERROR(VLOOKUP("electricity|PM25|Asthma symptoms cough", US_national_yearly!$D:$AM, 19, FALSE) / VLOOKUP("electricity|PM25|Asthma symptoms cough", US_national_yearly!$D:$AM, 10, FALSE), 1)</f>
        <v>1.8192924841353871E-2</v>
      </c>
      <c r="L6" s="7">
        <f>$B6 * IFERROR(VLOOKUP("electricity|PM25|Asthma symptoms cough", US_national_yearly!$D:$AM, 20, FALSE) / VLOOKUP("electricity|PM25|Asthma symptoms cough", US_national_yearly!$D:$AM, 10, FALSE), 1)</f>
        <v>1.8192924841353871E-2</v>
      </c>
      <c r="M6" s="7">
        <f>$B6 * IFERROR(VLOOKUP("electricity|PM25|Asthma symptoms cough", US_national_yearly!$D:$AM, 21, FALSE) / VLOOKUP("electricity|PM25|Asthma symptoms cough", US_national_yearly!$D:$AM, 10, FALSE), 1)</f>
        <v>1.8192924841353871E-2</v>
      </c>
      <c r="N6" s="7">
        <f>$B6 * IFERROR(VLOOKUP("electricity|PM25|Asthma symptoms cough", US_national_yearly!$D:$AM, 22, FALSE) / VLOOKUP("electricity|PM25|Asthma symptoms cough", US_national_yearly!$D:$AM, 10, FALSE), 1)</f>
        <v>1.8192924841353871E-2</v>
      </c>
      <c r="O6" s="7">
        <f>$B6 * IFERROR(VLOOKUP("electricity|PM25|Asthma symptoms cough", US_national_yearly!$D:$AM, 23, FALSE) / VLOOKUP("electricity|PM25|Asthma symptoms cough", US_national_yearly!$D:$AM, 10, FALSE), 1)</f>
        <v>1.8192924841353871E-2</v>
      </c>
      <c r="P6" s="7">
        <f>$B6 * IFERROR(VLOOKUP("electricity|PM25|Asthma symptoms cough", US_national_yearly!$D:$AM, 24, FALSE) / VLOOKUP("electricity|PM25|Asthma symptoms cough", US_national_yearly!$D:$AM, 10, FALSE), 1)</f>
        <v>1.8192924841353871E-2</v>
      </c>
      <c r="Q6" s="7">
        <f>$B6 * IFERROR(VLOOKUP("electricity|PM25|Asthma symptoms cough", US_national_yearly!$D:$AM, 25, FALSE) / VLOOKUP("electricity|PM25|Asthma symptoms cough", US_national_yearly!$D:$AM, 10, FALSE), 1)</f>
        <v>1.8192924841353871E-2</v>
      </c>
      <c r="R6" s="7">
        <f>$B6 * IFERROR(VLOOKUP("electricity|PM25|Asthma symptoms cough", US_national_yearly!$D:$AM, 26, FALSE) / VLOOKUP("electricity|PM25|Asthma symptoms cough", US_national_yearly!$D:$AM, 10, FALSE), 1)</f>
        <v>1.8192924841353871E-2</v>
      </c>
      <c r="S6" s="7">
        <f>$B6 * IFERROR(VLOOKUP("electricity|PM25|Asthma symptoms cough", US_national_yearly!$D:$AM, 27, FALSE) / VLOOKUP("electricity|PM25|Asthma symptoms cough", US_national_yearly!$D:$AM, 10, FALSE), 1)</f>
        <v>1.8192924841353871E-2</v>
      </c>
      <c r="T6" s="7">
        <f>$B6 * IFERROR(VLOOKUP("electricity|PM25|Asthma symptoms cough", US_national_yearly!$D:$AM, 28, FALSE) / VLOOKUP("electricity|PM25|Asthma symptoms cough", US_national_yearly!$D:$AM, 10, FALSE), 1)</f>
        <v>1.8192924841353871E-2</v>
      </c>
      <c r="U6" s="7">
        <f>$B6 * IFERROR(VLOOKUP("electricity|PM25|Asthma symptoms cough", US_national_yearly!$D:$AM, 29, FALSE) / VLOOKUP("electricity|PM25|Asthma symptoms cough", US_national_yearly!$D:$AM, 10, FALSE), 1)</f>
        <v>1.8192924841353871E-2</v>
      </c>
      <c r="V6" s="7">
        <f>$B6 * IFERROR(VLOOKUP("electricity|PM25|Asthma symptoms cough", US_national_yearly!$D:$AM, 30, FALSE) / VLOOKUP("electricity|PM25|Asthma symptoms cough", US_national_yearly!$D:$AM, 10, FALSE), 1)</f>
        <v>1.8192924841353871E-2</v>
      </c>
      <c r="W6" s="7">
        <f>$B6 * IFERROR(VLOOKUP("electricity|PM25|Asthma symptoms cough", US_national_yearly!$D:$AM, 31, FALSE) / VLOOKUP("electricity|PM25|Asthma symptoms cough", US_national_yearly!$D:$AM, 10, FALSE), 1)</f>
        <v>1.8192924841353871E-2</v>
      </c>
      <c r="X6" s="7">
        <f>$B6 * IFERROR(VLOOKUP("electricity|PM25|Asthma symptoms cough", US_national_yearly!$D:$AM, 32, FALSE) / VLOOKUP("electricity|PM25|Asthma symptoms cough", US_national_yearly!$D:$AM, 10, FALSE), 1)</f>
        <v>1.8192924841353871E-2</v>
      </c>
      <c r="Y6" s="7">
        <f>$B6 * IFERROR(VLOOKUP("electricity|PM25|Asthma symptoms cough", US_national_yearly!$D:$AM, 33, FALSE) / VLOOKUP("electricity|PM25|Asthma symptoms cough", US_national_yearly!$D:$AM, 10, FALSE), 1)</f>
        <v>1.8192924841353871E-2</v>
      </c>
      <c r="Z6" s="7">
        <f>$B6 * IFERROR(VLOOKUP("electricity|PM25|Asthma symptoms cough", US_national_yearly!$D:$AM, 34, FALSE) / VLOOKUP("electricity|PM25|Asthma symptoms cough", US_national_yearly!$D:$AM, 10, FALSE), 1)</f>
        <v>1.8192924841353871E-2</v>
      </c>
      <c r="AA6" s="7">
        <f>$B6 * IFERROR(VLOOKUP("electricity|PM25|Asthma symptoms cough", US_national_yearly!$D:$AM, 35, FALSE) / VLOOKUP("electricity|PM25|Asthma symptoms cough", US_national_yearly!$D:$AM, 10, FALSE), 1)</f>
        <v>1.8192924841353871E-2</v>
      </c>
      <c r="AB6" s="7">
        <f>$B6 * IFERROR(VLOOKUP("electricity|PM25|Asthma symptoms cough", US_national_yearly!$D:$AM, 36, FALSE) / VLOOKUP("electricity|PM25|Asthma symptoms cough", US_national_yearly!$D:$AM, 10, FALSE), 1)</f>
        <v>1.8192924841353871E-2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2.4499316665594875E-2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2.4499316665594875E-2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2.4499316665594875E-2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2.4499316665594875E-2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2.4499316665594875E-2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2.4499316665594875E-2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2.4499316665594875E-2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2.4499316665594875E-2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2.4499316665594875E-2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2.4499316665594875E-2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2.4499316665594875E-2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2.4499316665594875E-2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2.4499316665594875E-2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2.4499316665594875E-2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2.4499316665594875E-2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2.4499316665594875E-2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2.4499316665594875E-2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2.4499316665594875E-2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2.4499316665594875E-2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2.4499316665594875E-2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2.4499316665594875E-2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2.4499316665594875E-2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2.4499316665594875E-2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2.4499316665594875E-2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2.4499316665594875E-2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2.4499316665594875E-2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2.4499316665594875E-2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3.7431148055835819E-2</v>
      </c>
      <c r="C8" s="7">
        <f>$B8 * IFERROR(VLOOKUP("electricity|PM25|Asthma symptoms wheeze", US_national_yearly!$D:$AM, 11, FALSE) / VLOOKUP("electricity|PM25|Asthma symptoms wheeze", US_national_yearly!$D:$AM, 10, FALSE), 1)</f>
        <v>3.7431148055835819E-2</v>
      </c>
      <c r="D8" s="7">
        <f>$B8 * IFERROR(VLOOKUP("electricity|PM25|Asthma symptoms wheeze", US_national_yearly!$D:$AM, 12, FALSE) / VLOOKUP("electricity|PM25|Asthma symptoms wheeze", US_national_yearly!$D:$AM, 10, FALSE), 1)</f>
        <v>3.7431148055835819E-2</v>
      </c>
      <c r="E8" s="7">
        <f>$B8 * IFERROR(VLOOKUP("electricity|PM25|Asthma symptoms wheeze", US_national_yearly!$D:$AM, 13, FALSE) / VLOOKUP("electricity|PM25|Asthma symptoms wheeze", US_national_yearly!$D:$AM, 10, FALSE), 1)</f>
        <v>3.7431148055835819E-2</v>
      </c>
      <c r="F8" s="7">
        <f>$B8 * IFERROR(VLOOKUP("electricity|PM25|Asthma symptoms wheeze", US_national_yearly!$D:$AM, 14, FALSE) / VLOOKUP("electricity|PM25|Asthma symptoms wheeze", US_national_yearly!$D:$AM, 10, FALSE), 1)</f>
        <v>3.7431148055835819E-2</v>
      </c>
      <c r="G8" s="7">
        <f>$B8 * IFERROR(VLOOKUP("electricity|PM25|Asthma symptoms wheeze", US_national_yearly!$D:$AM, 15, FALSE) / VLOOKUP("electricity|PM25|Asthma symptoms wheeze", US_national_yearly!$D:$AM, 10, FALSE), 1)</f>
        <v>3.7431148055835819E-2</v>
      </c>
      <c r="H8" s="7">
        <f>$B8 * IFERROR(VLOOKUP("electricity|PM25|Asthma symptoms wheeze", US_national_yearly!$D:$AM, 16, FALSE) / VLOOKUP("electricity|PM25|Asthma symptoms wheeze", US_national_yearly!$D:$AM, 10, FALSE), 1)</f>
        <v>3.7431148055835819E-2</v>
      </c>
      <c r="I8" s="7">
        <f>$B8 * IFERROR(VLOOKUP("electricity|PM25|Asthma symptoms wheeze", US_national_yearly!$D:$AM, 17, FALSE) / VLOOKUP("electricity|PM25|Asthma symptoms wheeze", US_national_yearly!$D:$AM, 10, FALSE), 1)</f>
        <v>3.7431148055835819E-2</v>
      </c>
      <c r="J8" s="7">
        <f>$B8 * IFERROR(VLOOKUP("electricity|PM25|Asthma symptoms wheeze", US_national_yearly!$D:$AM, 18, FALSE) / VLOOKUP("electricity|PM25|Asthma symptoms wheeze", US_national_yearly!$D:$AM, 10, FALSE), 1)</f>
        <v>3.7431148055835819E-2</v>
      </c>
      <c r="K8" s="7">
        <f>$B8 * IFERROR(VLOOKUP("electricity|PM25|Asthma symptoms wheeze", US_national_yearly!$D:$AM, 19, FALSE) / VLOOKUP("electricity|PM25|Asthma symptoms wheeze", US_national_yearly!$D:$AM, 10, FALSE), 1)</f>
        <v>3.7431148055835819E-2</v>
      </c>
      <c r="L8" s="7">
        <f>$B8 * IFERROR(VLOOKUP("electricity|PM25|Asthma symptoms wheeze", US_national_yearly!$D:$AM, 20, FALSE) / VLOOKUP("electricity|PM25|Asthma symptoms wheeze", US_national_yearly!$D:$AM, 10, FALSE), 1)</f>
        <v>3.7431148055835819E-2</v>
      </c>
      <c r="M8" s="7">
        <f>$B8 * IFERROR(VLOOKUP("electricity|PM25|Asthma symptoms wheeze", US_national_yearly!$D:$AM, 21, FALSE) / VLOOKUP("electricity|PM25|Asthma symptoms wheeze", US_national_yearly!$D:$AM, 10, FALSE), 1)</f>
        <v>3.7431148055835819E-2</v>
      </c>
      <c r="N8" s="7">
        <f>$B8 * IFERROR(VLOOKUP("electricity|PM25|Asthma symptoms wheeze", US_national_yearly!$D:$AM, 22, FALSE) / VLOOKUP("electricity|PM25|Asthma symptoms wheeze", US_national_yearly!$D:$AM, 10, FALSE), 1)</f>
        <v>3.7431148055835819E-2</v>
      </c>
      <c r="O8" s="7">
        <f>$B8 * IFERROR(VLOOKUP("electricity|PM25|Asthma symptoms wheeze", US_national_yearly!$D:$AM, 23, FALSE) / VLOOKUP("electricity|PM25|Asthma symptoms wheeze", US_national_yearly!$D:$AM, 10, FALSE), 1)</f>
        <v>3.7431148055835819E-2</v>
      </c>
      <c r="P8" s="7">
        <f>$B8 * IFERROR(VLOOKUP("electricity|PM25|Asthma symptoms wheeze", US_national_yearly!$D:$AM, 24, FALSE) / VLOOKUP("electricity|PM25|Asthma symptoms wheeze", US_national_yearly!$D:$AM, 10, FALSE), 1)</f>
        <v>3.7431148055835819E-2</v>
      </c>
      <c r="Q8" s="7">
        <f>$B8 * IFERROR(VLOOKUP("electricity|PM25|Asthma symptoms wheeze", US_national_yearly!$D:$AM, 25, FALSE) / VLOOKUP("electricity|PM25|Asthma symptoms wheeze", US_national_yearly!$D:$AM, 10, FALSE), 1)</f>
        <v>3.7431148055835819E-2</v>
      </c>
      <c r="R8" s="7">
        <f>$B8 * IFERROR(VLOOKUP("electricity|PM25|Asthma symptoms wheeze", US_national_yearly!$D:$AM, 26, FALSE) / VLOOKUP("electricity|PM25|Asthma symptoms wheeze", US_national_yearly!$D:$AM, 10, FALSE), 1)</f>
        <v>3.7431148055835819E-2</v>
      </c>
      <c r="S8" s="7">
        <f>$B8 * IFERROR(VLOOKUP("electricity|PM25|Asthma symptoms wheeze", US_national_yearly!$D:$AM, 27, FALSE) / VLOOKUP("electricity|PM25|Asthma symptoms wheeze", US_national_yearly!$D:$AM, 10, FALSE), 1)</f>
        <v>3.7431148055835819E-2</v>
      </c>
      <c r="T8" s="7">
        <f>$B8 * IFERROR(VLOOKUP("electricity|PM25|Asthma symptoms wheeze", US_national_yearly!$D:$AM, 28, FALSE) / VLOOKUP("electricity|PM25|Asthma symptoms wheeze", US_national_yearly!$D:$AM, 10, FALSE), 1)</f>
        <v>3.7431148055835819E-2</v>
      </c>
      <c r="U8" s="7">
        <f>$B8 * IFERROR(VLOOKUP("electricity|PM25|Asthma symptoms wheeze", US_national_yearly!$D:$AM, 29, FALSE) / VLOOKUP("electricity|PM25|Asthma symptoms wheeze", US_national_yearly!$D:$AM, 10, FALSE), 1)</f>
        <v>3.7431148055835819E-2</v>
      </c>
      <c r="V8" s="7">
        <f>$B8 * IFERROR(VLOOKUP("electricity|PM25|Asthma symptoms wheeze", US_national_yearly!$D:$AM, 30, FALSE) / VLOOKUP("electricity|PM25|Asthma symptoms wheeze", US_national_yearly!$D:$AM, 10, FALSE), 1)</f>
        <v>3.7431148055835819E-2</v>
      </c>
      <c r="W8" s="7">
        <f>$B8 * IFERROR(VLOOKUP("electricity|PM25|Asthma symptoms wheeze", US_national_yearly!$D:$AM, 31, FALSE) / VLOOKUP("electricity|PM25|Asthma symptoms wheeze", US_national_yearly!$D:$AM, 10, FALSE), 1)</f>
        <v>3.7431148055835819E-2</v>
      </c>
      <c r="X8" s="7">
        <f>$B8 * IFERROR(VLOOKUP("electricity|PM25|Asthma symptoms wheeze", US_national_yearly!$D:$AM, 32, FALSE) / VLOOKUP("electricity|PM25|Asthma symptoms wheeze", US_national_yearly!$D:$AM, 10, FALSE), 1)</f>
        <v>3.7431148055835819E-2</v>
      </c>
      <c r="Y8" s="7">
        <f>$B8 * IFERROR(VLOOKUP("electricity|PM25|Asthma symptoms wheeze", US_national_yearly!$D:$AM, 33, FALSE) / VLOOKUP("electricity|PM25|Asthma symptoms wheeze", US_national_yearly!$D:$AM, 10, FALSE), 1)</f>
        <v>3.7431148055835819E-2</v>
      </c>
      <c r="Z8" s="7">
        <f>$B8 * IFERROR(VLOOKUP("electricity|PM25|Asthma symptoms wheeze", US_national_yearly!$D:$AM, 34, FALSE) / VLOOKUP("electricity|PM25|Asthma symptoms wheeze", US_national_yearly!$D:$AM, 10, FALSE), 1)</f>
        <v>3.7431148055835819E-2</v>
      </c>
      <c r="AA8" s="7">
        <f>$B8 * IFERROR(VLOOKUP("electricity|PM25|Asthma symptoms wheeze", US_national_yearly!$D:$AM, 35, FALSE) / VLOOKUP("electricity|PM25|Asthma symptoms wheeze", US_national_yearly!$D:$AM, 10, FALSE), 1)</f>
        <v>3.7431148055835819E-2</v>
      </c>
      <c r="AB8" s="7">
        <f>$B8 * IFERROR(VLOOKUP("electricity|PM25|Asthma symptoms wheeze", US_national_yearly!$D:$AM, 36, FALSE) / VLOOKUP("electricity|PM25|Asthma symptoms wheeze", US_national_yearly!$D:$AM, 10, FALSE), 1)</f>
        <v>3.7431148055835819E-2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1.5362555460724295E-3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1.5446986195275169E-3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1.5531416929826041E-3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1.5615847664376919E-3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1.5700278398927791E-3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1.5790786070998067E-3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1.5881293743068342E-3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1.5962153101897034E-3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1.6043012460725721E-3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1.6123871819554406E-3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1.6204731178383093E-3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1.6285590537211785E-3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1.6340133046003377E-3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1.6394675554794972E-3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1.6449218063586569E-3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1.6503760572378161E-3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1.6558303081169756E-3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1.6609129071493052E-3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1.6659955061816341E-3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1.6710781052139633E-3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1.6761607042462927E-3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1.6812433032786216E-3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1.6862690258143034E-3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1.6912947483499847E-3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1.6963204708856663E-3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1.7013461934213478E-3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1.7063719159570296E-3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9.3867018355911994E-3</v>
      </c>
      <c r="C13" s="7">
        <f>$B13 * IFERROR(VLOOKUP("electricity|PM25|Non-fatal heart attacks", US_national_yearly!$D:$AM, 11, FALSE) / VLOOKUP("electricity|PM25|Non-fatal heart attacks", US_national_yearly!$D:$AM, 10, FALSE), 1)</f>
        <v>9.6585859817594176E-3</v>
      </c>
      <c r="D13" s="7">
        <f>$B13 * IFERROR(VLOOKUP("electricity|PM25|Non-fatal heart attacks", US_national_yearly!$D:$AM, 12, FALSE) / VLOOKUP("electricity|PM25|Non-fatal heart attacks", US_national_yearly!$D:$AM, 10, FALSE), 1)</f>
        <v>9.9304701279276358E-3</v>
      </c>
      <c r="E13" s="7">
        <f>$B13 * IFERROR(VLOOKUP("electricity|PM25|Non-fatal heart attacks", US_national_yearly!$D:$AM, 13, FALSE) / VLOOKUP("electricity|PM25|Non-fatal heart attacks", US_national_yearly!$D:$AM, 10, FALSE), 1)</f>
        <v>1.0202354274095852E-2</v>
      </c>
      <c r="F13" s="7">
        <f>$B13 * IFERROR(VLOOKUP("electricity|PM25|Non-fatal heart attacks", US_national_yearly!$D:$AM, 14, FALSE) / VLOOKUP("electricity|PM25|Non-fatal heart attacks", US_national_yearly!$D:$AM, 10, FALSE), 1)</f>
        <v>1.047423842026407E-2</v>
      </c>
      <c r="G13" s="7">
        <f>$B13 * IFERROR(VLOOKUP("electricity|PM25|Non-fatal heart attacks", US_national_yearly!$D:$AM, 15, FALSE) / VLOOKUP("electricity|PM25|Non-fatal heart attacks", US_national_yearly!$D:$AM, 10, FALSE), 1)</f>
        <v>1.0732301878495228E-2</v>
      </c>
      <c r="H13" s="7">
        <f>$B13 * IFERROR(VLOOKUP("electricity|PM25|Non-fatal heart attacks", US_national_yearly!$D:$AM, 16, FALSE) / VLOOKUP("electricity|PM25|Non-fatal heart attacks", US_national_yearly!$D:$AM, 10, FALSE), 1)</f>
        <v>1.0990365336726383E-2</v>
      </c>
      <c r="I13" s="7">
        <f>$B13 * IFERROR(VLOOKUP("electricity|PM25|Non-fatal heart attacks", US_national_yearly!$D:$AM, 17, FALSE) / VLOOKUP("electricity|PM25|Non-fatal heart attacks", US_national_yearly!$D:$AM, 10, FALSE), 1)</f>
        <v>1.1200914652808928E-2</v>
      </c>
      <c r="J13" s="7">
        <f>$B13 * IFERROR(VLOOKUP("electricity|PM25|Non-fatal heart attacks", US_national_yearly!$D:$AM, 18, FALSE) / VLOOKUP("electricity|PM25|Non-fatal heart attacks", US_national_yearly!$D:$AM, 10, FALSE), 1)</f>
        <v>1.1411463968891471E-2</v>
      </c>
      <c r="K13" s="7">
        <f>$B13 * IFERROR(VLOOKUP("electricity|PM25|Non-fatal heart attacks", US_national_yearly!$D:$AM, 19, FALSE) / VLOOKUP("electricity|PM25|Non-fatal heart attacks", US_national_yearly!$D:$AM, 10, FALSE), 1)</f>
        <v>1.1622013284974012E-2</v>
      </c>
      <c r="L13" s="7">
        <f>$B13 * IFERROR(VLOOKUP("electricity|PM25|Non-fatal heart attacks", US_national_yearly!$D:$AM, 20, FALSE) / VLOOKUP("electricity|PM25|Non-fatal heart attacks", US_national_yearly!$D:$AM, 10, FALSE), 1)</f>
        <v>1.1832562601056553E-2</v>
      </c>
      <c r="M13" s="7">
        <f>$B13 * IFERROR(VLOOKUP("electricity|PM25|Non-fatal heart attacks", US_national_yearly!$D:$AM, 21, FALSE) / VLOOKUP("electricity|PM25|Non-fatal heart attacks", US_national_yearly!$D:$AM, 10, FALSE), 1)</f>
        <v>1.2043111917139099E-2</v>
      </c>
      <c r="N13" s="7">
        <f>$B13 * IFERROR(VLOOKUP("electricity|PM25|Non-fatal heart attacks", US_national_yearly!$D:$AM, 22, FALSE) / VLOOKUP("electricity|PM25|Non-fatal heart attacks", US_national_yearly!$D:$AM, 10, FALSE), 1)</f>
        <v>1.2179731242868797E-2</v>
      </c>
      <c r="O13" s="7">
        <f>$B13 * IFERROR(VLOOKUP("electricity|PM25|Non-fatal heart attacks", US_national_yearly!$D:$AM, 23, FALSE) / VLOOKUP("electricity|PM25|Non-fatal heart attacks", US_national_yearly!$D:$AM, 10, FALSE), 1)</f>
        <v>1.2316350568598497E-2</v>
      </c>
      <c r="P13" s="7">
        <f>$B13 * IFERROR(VLOOKUP("electricity|PM25|Non-fatal heart attacks", US_national_yearly!$D:$AM, 24, FALSE) / VLOOKUP("electricity|PM25|Non-fatal heart attacks", US_national_yearly!$D:$AM, 10, FALSE), 1)</f>
        <v>1.2452969894328193E-2</v>
      </c>
      <c r="Q13" s="7">
        <f>$B13 * IFERROR(VLOOKUP("electricity|PM25|Non-fatal heart attacks", US_national_yearly!$D:$AM, 25, FALSE) / VLOOKUP("electricity|PM25|Non-fatal heart attacks", US_national_yearly!$D:$AM, 10, FALSE), 1)</f>
        <v>1.2589589220057892E-2</v>
      </c>
      <c r="R13" s="7">
        <f>$B13 * IFERROR(VLOOKUP("electricity|PM25|Non-fatal heart attacks", US_national_yearly!$D:$AM, 26, FALSE) / VLOOKUP("electricity|PM25|Non-fatal heart attacks", US_national_yearly!$D:$AM, 10, FALSE), 1)</f>
        <v>1.272620854578759E-2</v>
      </c>
      <c r="S13" s="7">
        <f>$B13 * IFERROR(VLOOKUP("electricity|PM25|Non-fatal heart attacks", US_national_yearly!$D:$AM, 27, FALSE) / VLOOKUP("electricity|PM25|Non-fatal heart attacks", US_national_yearly!$D:$AM, 10, FALSE), 1)</f>
        <v>1.2801420994379704E-2</v>
      </c>
      <c r="T13" s="7">
        <f>$B13 * IFERROR(VLOOKUP("electricity|PM25|Non-fatal heart attacks", US_national_yearly!$D:$AM, 28, FALSE) / VLOOKUP("electricity|PM25|Non-fatal heart attacks", US_national_yearly!$D:$AM, 10, FALSE), 1)</f>
        <v>1.2876633442971821E-2</v>
      </c>
      <c r="U13" s="7">
        <f>$B13 * IFERROR(VLOOKUP("electricity|PM25|Non-fatal heart attacks", US_national_yearly!$D:$AM, 29, FALSE) / VLOOKUP("electricity|PM25|Non-fatal heart attacks", US_national_yearly!$D:$AM, 10, FALSE), 1)</f>
        <v>1.2951845891563934E-2</v>
      </c>
      <c r="V13" s="7">
        <f>$B13 * IFERROR(VLOOKUP("electricity|PM25|Non-fatal heart attacks", US_national_yearly!$D:$AM, 30, FALSE) / VLOOKUP("electricity|PM25|Non-fatal heart attacks", US_national_yearly!$D:$AM, 10, FALSE), 1)</f>
        <v>1.3027058340156049E-2</v>
      </c>
      <c r="W13" s="7">
        <f>$B13 * IFERROR(VLOOKUP("electricity|PM25|Non-fatal heart attacks", US_national_yearly!$D:$AM, 31, FALSE) / VLOOKUP("electricity|PM25|Non-fatal heart attacks", US_national_yearly!$D:$AM, 10, FALSE), 1)</f>
        <v>1.3102270788748165E-2</v>
      </c>
      <c r="X13" s="7">
        <f>$B13 * IFERROR(VLOOKUP("electricity|PM25|Non-fatal heart attacks", US_national_yearly!$D:$AM, 32, FALSE) / VLOOKUP("electricity|PM25|Non-fatal heart attacks", US_national_yearly!$D:$AM, 10, FALSE), 1)</f>
        <v>1.3161110674553625E-2</v>
      </c>
      <c r="Y13" s="7">
        <f>$B13 * IFERROR(VLOOKUP("electricity|PM25|Non-fatal heart attacks", US_national_yearly!$D:$AM, 33, FALSE) / VLOOKUP("electricity|PM25|Non-fatal heart attacks", US_national_yearly!$D:$AM, 10, FALSE), 1)</f>
        <v>1.3219950560359087E-2</v>
      </c>
      <c r="Z13" s="7">
        <f>$B13 * IFERROR(VLOOKUP("electricity|PM25|Non-fatal heart attacks", US_national_yearly!$D:$AM, 34, FALSE) / VLOOKUP("electricity|PM25|Non-fatal heart attacks", US_national_yearly!$D:$AM, 10, FALSE), 1)</f>
        <v>1.3278790446164545E-2</v>
      </c>
      <c r="AA13" s="7">
        <f>$B13 * IFERROR(VLOOKUP("electricity|PM25|Non-fatal heart attacks", US_national_yearly!$D:$AM, 35, FALSE) / VLOOKUP("electricity|PM25|Non-fatal heart attacks", US_national_yearly!$D:$AM, 10, FALSE), 1)</f>
        <v>1.333763033197001E-2</v>
      </c>
      <c r="AB13" s="7">
        <f>$B13 * IFERROR(VLOOKUP("electricity|PM25|Non-fatal heart attacks", US_national_yearly!$D:$AM, 36, FALSE) / VLOOKUP("electricity|PM25|Non-fatal heart attacks", US_national_yearly!$D:$AM, 10, FALSE), 1)</f>
        <v>1.3396470217775468E-2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2.1499577880598641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2.1547305498343476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2.1595033116088316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2.1642760733833151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2.169048835157799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2.1761310605928701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2.1832132860279407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2.1957185676354096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2.2082238492428785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2.2207291308503474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2.2332344124578163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2.2457396940652852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2.2630881262271139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2.280436558388943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2.2977849905507721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2.3151334227126013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2.3324818548744299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2.3499799260603527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2.3674779972462749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2.3849760684321972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2.4024741396181204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2.4199722108040427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2.4349717101830723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2.449971209562102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2.4649707089411321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2.4799702083201614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2.4949697076991915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0.36382330124044748</v>
      </c>
      <c r="C15" s="7">
        <f>$B15 * IFERROR(VLOOKUP("electricity|PM25|Work loss days", US_national_yearly!$D:$AM, 11, FALSE) / VLOOKUP("electricity|PM25|Work loss days", US_national_yearly!$D:$AM, 10, FALSE), 1)</f>
        <v>0.36486440264770875</v>
      </c>
      <c r="D15" s="7">
        <f>$B15 * IFERROR(VLOOKUP("electricity|PM25|Work loss days", US_national_yearly!$D:$AM, 12, FALSE) / VLOOKUP("electricity|PM25|Work loss days", US_national_yearly!$D:$AM, 10, FALSE), 1)</f>
        <v>0.36590550405497008</v>
      </c>
      <c r="E15" s="7">
        <f>$B15 * IFERROR(VLOOKUP("electricity|PM25|Work loss days", US_national_yearly!$D:$AM, 13, FALSE) / VLOOKUP("electricity|PM25|Work loss days", US_national_yearly!$D:$AM, 10, FALSE), 1)</f>
        <v>0.36694660546223135</v>
      </c>
      <c r="F15" s="7">
        <f>$B15 * IFERROR(VLOOKUP("electricity|PM25|Work loss days", US_national_yearly!$D:$AM, 14, FALSE) / VLOOKUP("electricity|PM25|Work loss days", US_national_yearly!$D:$AM, 10, FALSE), 1)</f>
        <v>0.36798770686949261</v>
      </c>
      <c r="G15" s="7">
        <f>$B15 * IFERROR(VLOOKUP("electricity|PM25|Work loss days", US_national_yearly!$D:$AM, 15, FALSE) / VLOOKUP("electricity|PM25|Work loss days", US_national_yearly!$D:$AM, 10, FALSE), 1)</f>
        <v>0.36933640029781922</v>
      </c>
      <c r="H15" s="7">
        <f>$B15 * IFERROR(VLOOKUP("electricity|PM25|Work loss days", US_national_yearly!$D:$AM, 16, FALSE) / VLOOKUP("electricity|PM25|Work loss days", US_national_yearly!$D:$AM, 10, FALSE), 1)</f>
        <v>0.37068509372614589</v>
      </c>
      <c r="I15" s="7">
        <f>$B15 * IFERROR(VLOOKUP("electricity|PM25|Work loss days", US_national_yearly!$D:$AM, 17, FALSE) / VLOOKUP("electricity|PM25|Work loss days", US_national_yearly!$D:$AM, 10, FALSE), 1)</f>
        <v>0.37271262399392802</v>
      </c>
      <c r="J15" s="7">
        <f>$B15 * IFERROR(VLOOKUP("electricity|PM25|Work loss days", US_national_yearly!$D:$AM, 18, FALSE) / VLOOKUP("electricity|PM25|Work loss days", US_national_yearly!$D:$AM, 10, FALSE), 1)</f>
        <v>0.37474015426171003</v>
      </c>
      <c r="K15" s="7">
        <f>$B15 * IFERROR(VLOOKUP("electricity|PM25|Work loss days", US_national_yearly!$D:$AM, 19, FALSE) / VLOOKUP("electricity|PM25|Work loss days", US_national_yearly!$D:$AM, 10, FALSE), 1)</f>
        <v>0.37676768452949222</v>
      </c>
      <c r="L15" s="7">
        <f>$B15 * IFERROR(VLOOKUP("electricity|PM25|Work loss days", US_national_yearly!$D:$AM, 20, FALSE) / VLOOKUP("electricity|PM25|Work loss days", US_national_yearly!$D:$AM, 10, FALSE), 1)</f>
        <v>0.37879521479727435</v>
      </c>
      <c r="M15" s="7">
        <f>$B15 * IFERROR(VLOOKUP("electricity|PM25|Work loss days", US_national_yearly!$D:$AM, 21, FALSE) / VLOOKUP("electricity|PM25|Work loss days", US_national_yearly!$D:$AM, 10, FALSE), 1)</f>
        <v>0.38082274506505648</v>
      </c>
      <c r="N15" s="7">
        <f>$B15 * IFERROR(VLOOKUP("electricity|PM25|Work loss days", US_national_yearly!$D:$AM, 22, FALSE) / VLOOKUP("electricity|PM25|Work loss days", US_national_yearly!$D:$AM, 10, FALSE), 1)</f>
        <v>0.38344042739693407</v>
      </c>
      <c r="O15" s="7">
        <f>$B15 * IFERROR(VLOOKUP("electricity|PM25|Work loss days", US_national_yearly!$D:$AM, 23, FALSE) / VLOOKUP("electricity|PM25|Work loss days", US_national_yearly!$D:$AM, 10, FALSE), 1)</f>
        <v>0.38605810972881172</v>
      </c>
      <c r="P15" s="7">
        <f>$B15 * IFERROR(VLOOKUP("electricity|PM25|Work loss days", US_national_yearly!$D:$AM, 24, FALSE) / VLOOKUP("electricity|PM25|Work loss days", US_national_yearly!$D:$AM, 10, FALSE), 1)</f>
        <v>0.38867579206068925</v>
      </c>
      <c r="Q15" s="7">
        <f>$B15 * IFERROR(VLOOKUP("electricity|PM25|Work loss days", US_national_yearly!$D:$AM, 25, FALSE) / VLOOKUP("electricity|PM25|Work loss days", US_national_yearly!$D:$AM, 10, FALSE), 1)</f>
        <v>0.39129347439256679</v>
      </c>
      <c r="R15" s="7">
        <f>$B15 * IFERROR(VLOOKUP("electricity|PM25|Work loss days", US_national_yearly!$D:$AM, 26, FALSE) / VLOOKUP("electricity|PM25|Work loss days", US_national_yearly!$D:$AM, 10, FALSE), 1)</f>
        <v>0.39391115672444443</v>
      </c>
      <c r="S15" s="7">
        <f>$B15 * IFERROR(VLOOKUP("electricity|PM25|Work loss days", US_national_yearly!$D:$AM, 27, FALSE) / VLOOKUP("electricity|PM25|Work loss days", US_national_yearly!$D:$AM, 10, FALSE), 1)</f>
        <v>0.39681585976981648</v>
      </c>
      <c r="T15" s="7">
        <f>$B15 * IFERROR(VLOOKUP("electricity|PM25|Work loss days", US_national_yearly!$D:$AM, 28, FALSE) / VLOOKUP("electricity|PM25|Work loss days", US_national_yearly!$D:$AM, 10, FALSE), 1)</f>
        <v>0.3997205628151887</v>
      </c>
      <c r="U15" s="7">
        <f>$B15 * IFERROR(VLOOKUP("electricity|PM25|Work loss days", US_national_yearly!$D:$AM, 29, FALSE) / VLOOKUP("electricity|PM25|Work loss days", US_national_yearly!$D:$AM, 10, FALSE), 1)</f>
        <v>0.40262526586056085</v>
      </c>
      <c r="V15" s="7">
        <f>$B15 * IFERROR(VLOOKUP("electricity|PM25|Work loss days", US_national_yearly!$D:$AM, 30, FALSE) / VLOOKUP("electricity|PM25|Work loss days", US_national_yearly!$D:$AM, 10, FALSE), 1)</f>
        <v>0.40552996890593301</v>
      </c>
      <c r="W15" s="7">
        <f>$B15 * IFERROR(VLOOKUP("electricity|PM25|Work loss days", US_national_yearly!$D:$AM, 31, FALSE) / VLOOKUP("electricity|PM25|Work loss days", US_national_yearly!$D:$AM, 10, FALSE), 1)</f>
        <v>0.40843467195130512</v>
      </c>
      <c r="X15" s="7">
        <f>$B15 * IFERROR(VLOOKUP("electricity|PM25|Work loss days", US_national_yearly!$D:$AM, 32, FALSE) / VLOOKUP("electricity|PM25|Work loss days", US_national_yearly!$D:$AM, 10, FALSE), 1)</f>
        <v>0.41099709665691336</v>
      </c>
      <c r="Y15" s="7">
        <f>$B15 * IFERROR(VLOOKUP("electricity|PM25|Work loss days", US_national_yearly!$D:$AM, 33, FALSE) / VLOOKUP("electricity|PM25|Work loss days", US_national_yearly!$D:$AM, 10, FALSE), 1)</f>
        <v>0.41355952136252144</v>
      </c>
      <c r="Z15" s="7">
        <f>$B15 * IFERROR(VLOOKUP("electricity|PM25|Work loss days", US_national_yearly!$D:$AM, 34, FALSE) / VLOOKUP("electricity|PM25|Work loss days", US_national_yearly!$D:$AM, 10, FALSE), 1)</f>
        <v>0.41612194606812963</v>
      </c>
      <c r="AA15" s="7">
        <f>$B15 * IFERROR(VLOOKUP("electricity|PM25|Work loss days", US_national_yearly!$D:$AM, 35, FALSE) / VLOOKUP("electricity|PM25|Work loss days", US_national_yearly!$D:$AM, 10, FALSE), 1)</f>
        <v>0.41868437077373788</v>
      </c>
      <c r="AB15" s="7">
        <f>$B15 * IFERROR(VLOOKUP("electricity|PM25|Work loss days", US_national_yearly!$D:$AM, 36, FALSE) / VLOOKUP("electricity|PM25|Work loss days", US_national_yearly!$D:$AM, 10, FALSE), 1)</f>
        <v>0.42124679547934607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2.319353759199335E-3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2.3881803713272807E-3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2.4570069834552264E-3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2.5258335955831717E-3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2.5946602077111173E-3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2.6610433683314535E-3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2.7274265289517893E-3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2.7849328985446249E-3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2.8424392681374606E-3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2.8999456377302958E-3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2.9574520073231319E-3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3.0149583769159666E-3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3.0536154766421329E-3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3.0922725763682982E-3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3.1309296760944636E-3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3.1695867758206294E-3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3.2082438755467947E-3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3.2295787804858308E-3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3.250913685424866E-3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3.272248590363902E-3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3.2935834953029377E-3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3.3149184002419733E-3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3.3298027853280441E-3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3.3446871704141145E-3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3.3595715555001853E-3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3.3744559405862566E-3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3.3893403256723274E-3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3.6292016470644323E-4</v>
      </c>
      <c r="C2" s="7">
        <f>$B2 * IFERROR(VLOOKUP("electricity|NOx|Premature mortality", US_national_yearly!$D:$AM, 11, FALSE) / VLOOKUP("electricity|NOx|Premature mortality", US_national_yearly!$D:$AM, 10, FALSE), 1)</f>
        <v>3.6841137678368262E-4</v>
      </c>
      <c r="D2" s="7">
        <f>$B2 * IFERROR(VLOOKUP("electricity|NOx|Premature mortality", US_national_yearly!$D:$AM, 12, FALSE) / VLOOKUP("electricity|NOx|Premature mortality", US_national_yearly!$D:$AM, 10, FALSE), 1)</f>
        <v>3.7390258886092206E-4</v>
      </c>
      <c r="E2" s="7">
        <f>$B2 * IFERROR(VLOOKUP("electricity|NOx|Premature mortality", US_national_yearly!$D:$AM, 13, FALSE) / VLOOKUP("electricity|NOx|Premature mortality", US_national_yearly!$D:$AM, 10, FALSE), 1)</f>
        <v>3.7939380093816139E-4</v>
      </c>
      <c r="F2" s="7">
        <f>$B2 * IFERROR(VLOOKUP("electricity|NOx|Premature mortality", US_national_yearly!$D:$AM, 14, FALSE) / VLOOKUP("electricity|NOx|Premature mortality", US_national_yearly!$D:$AM, 10, FALSE), 1)</f>
        <v>3.8488501301540078E-4</v>
      </c>
      <c r="G2" s="7">
        <f>$B2 * IFERROR(VLOOKUP("electricity|NOx|Premature mortality", US_national_yearly!$D:$AM, 15, FALSE) / VLOOKUP("electricity|NOx|Premature mortality", US_national_yearly!$D:$AM, 10, FALSE), 1)</f>
        <v>3.946943401517334E-4</v>
      </c>
      <c r="H2" s="7">
        <f>$B2 * IFERROR(VLOOKUP("electricity|NOx|Premature mortality", US_national_yearly!$D:$AM, 16, FALSE) / VLOOKUP("electricity|NOx|Premature mortality", US_national_yearly!$D:$AM, 10, FALSE), 1)</f>
        <v>4.0450366728806591E-4</v>
      </c>
      <c r="I2" s="7">
        <f>$B2 * IFERROR(VLOOKUP("electricity|NOx|Premature mortality", US_national_yearly!$D:$AM, 17, FALSE) / VLOOKUP("electricity|NOx|Premature mortality", US_national_yearly!$D:$AM, 10, FALSE), 1)</f>
        <v>4.1102236808633293E-4</v>
      </c>
      <c r="J2" s="7">
        <f>$B2 * IFERROR(VLOOKUP("electricity|NOx|Premature mortality", US_national_yearly!$D:$AM, 18, FALSE) / VLOOKUP("electricity|NOx|Premature mortality", US_national_yearly!$D:$AM, 10, FALSE), 1)</f>
        <v>4.1754106888460002E-4</v>
      </c>
      <c r="K2" s="7">
        <f>$B2 * IFERROR(VLOOKUP("electricity|NOx|Premature mortality", US_national_yearly!$D:$AM, 19, FALSE) / VLOOKUP("electricity|NOx|Premature mortality", US_national_yearly!$D:$AM, 10, FALSE), 1)</f>
        <v>4.2405976968286699E-4</v>
      </c>
      <c r="L2" s="7">
        <f>$B2 * IFERROR(VLOOKUP("electricity|NOx|Premature mortality", US_national_yearly!$D:$AM, 20, FALSE) / VLOOKUP("electricity|NOx|Premature mortality", US_national_yearly!$D:$AM, 10, FALSE), 1)</f>
        <v>4.3057847048113402E-4</v>
      </c>
      <c r="M2" s="7">
        <f>$B2 * IFERROR(VLOOKUP("electricity|NOx|Premature mortality", US_national_yearly!$D:$AM, 21, FALSE) / VLOOKUP("electricity|NOx|Premature mortality", US_national_yearly!$D:$AM, 10, FALSE), 1)</f>
        <v>4.3709717127940104E-4</v>
      </c>
      <c r="N2" s="7">
        <f>$B2 * IFERROR(VLOOKUP("electricity|NOx|Premature mortality", US_national_yearly!$D:$AM, 22, FALSE) / VLOOKUP("electricity|NOx|Premature mortality", US_national_yearly!$D:$AM, 10, FALSE), 1)</f>
        <v>4.421271025389263E-4</v>
      </c>
      <c r="O2" s="7">
        <f>$B2 * IFERROR(VLOOKUP("electricity|NOx|Premature mortality", US_national_yearly!$D:$AM, 23, FALSE) / VLOOKUP("electricity|NOx|Premature mortality", US_national_yearly!$D:$AM, 10, FALSE), 1)</f>
        <v>4.4715703379845178E-4</v>
      </c>
      <c r="P2" s="7">
        <f>$B2 * IFERROR(VLOOKUP("electricity|NOx|Premature mortality", US_national_yearly!$D:$AM, 24, FALSE) / VLOOKUP("electricity|NOx|Premature mortality", US_national_yearly!$D:$AM, 10, FALSE), 1)</f>
        <v>4.5218696505797709E-4</v>
      </c>
      <c r="Q2" s="7">
        <f>$B2 * IFERROR(VLOOKUP("electricity|NOx|Premature mortality", US_national_yearly!$D:$AM, 25, FALSE) / VLOOKUP("electricity|NOx|Premature mortality", US_national_yearly!$D:$AM, 10, FALSE), 1)</f>
        <v>4.5721689631750246E-4</v>
      </c>
      <c r="R2" s="7">
        <f>$B2 * IFERROR(VLOOKUP("electricity|NOx|Premature mortality", US_national_yearly!$D:$AM, 26, FALSE) / VLOOKUP("electricity|NOx|Premature mortality", US_national_yearly!$D:$AM, 10, FALSE), 1)</f>
        <v>4.6224682757702777E-4</v>
      </c>
      <c r="S2" s="7">
        <f>$B2 * IFERROR(VLOOKUP("electricity|NOx|Premature mortality", US_national_yearly!$D:$AM, 27, FALSE) / VLOOKUP("electricity|NOx|Premature mortality", US_national_yearly!$D:$AM, 10, FALSE), 1)</f>
        <v>4.6484600366559424E-4</v>
      </c>
      <c r="T2" s="7">
        <f>$B2 * IFERROR(VLOOKUP("electricity|NOx|Premature mortality", US_national_yearly!$D:$AM, 28, FALSE) / VLOOKUP("electricity|NOx|Premature mortality", US_national_yearly!$D:$AM, 10, FALSE), 1)</f>
        <v>4.6744517975416065E-4</v>
      </c>
      <c r="U2" s="7">
        <f>$B2 * IFERROR(VLOOKUP("electricity|NOx|Premature mortality", US_national_yearly!$D:$AM, 29, FALSE) / VLOOKUP("electricity|NOx|Premature mortality", US_national_yearly!$D:$AM, 10, FALSE), 1)</f>
        <v>4.7004435584272727E-4</v>
      </c>
      <c r="V2" s="7">
        <f>$B2 * IFERROR(VLOOKUP("electricity|NOx|Premature mortality", US_national_yearly!$D:$AM, 30, FALSE) / VLOOKUP("electricity|NOx|Premature mortality", US_national_yearly!$D:$AM, 10, FALSE), 1)</f>
        <v>4.7264353193129368E-4</v>
      </c>
      <c r="W2" s="7">
        <f>$B2 * IFERROR(VLOOKUP("electricity|NOx|Premature mortality", US_national_yearly!$D:$AM, 31, FALSE) / VLOOKUP("electricity|NOx|Premature mortality", US_national_yearly!$D:$AM, 10, FALSE), 1)</f>
        <v>4.7524270801986015E-4</v>
      </c>
      <c r="X2" s="7">
        <f>$B2 * IFERROR(VLOOKUP("electricity|NOx|Premature mortality", US_national_yearly!$D:$AM, 32, FALSE) / VLOOKUP("electricity|NOx|Premature mortality", US_national_yearly!$D:$AM, 10, FALSE), 1)</f>
        <v>4.7583072239776829E-4</v>
      </c>
      <c r="Y2" s="7">
        <f>$B2 * IFERROR(VLOOKUP("electricity|NOx|Premature mortality", US_national_yearly!$D:$AM, 33, FALSE) / VLOOKUP("electricity|NOx|Premature mortality", US_national_yearly!$D:$AM, 10, FALSE), 1)</f>
        <v>4.7641873677567643E-4</v>
      </c>
      <c r="Z2" s="7">
        <f>$B2 * IFERROR(VLOOKUP("electricity|NOx|Premature mortality", US_national_yearly!$D:$AM, 34, FALSE) / VLOOKUP("electricity|NOx|Premature mortality", US_national_yearly!$D:$AM, 10, FALSE), 1)</f>
        <v>4.7700675115358457E-4</v>
      </c>
      <c r="AA2" s="7">
        <f>$B2 * IFERROR(VLOOKUP("electricity|NOx|Premature mortality", US_national_yearly!$D:$AM, 35, FALSE) / VLOOKUP("electricity|NOx|Premature mortality", US_national_yearly!$D:$AM, 10, FALSE), 1)</f>
        <v>4.775947655314926E-4</v>
      </c>
      <c r="AB2" s="7">
        <f>$B2 * IFERROR(VLOOKUP("electricity|NOx|Premature mortality", US_national_yearly!$D:$AM, 36, FALSE) / VLOOKUP("electricity|NOx|Premature mortality", US_national_yearly!$D:$AM, 10, FALSE), 1)</f>
        <v>4.7818277990940074E-4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6.5059839352954537E-7</v>
      </c>
      <c r="C3" s="7">
        <f>$B3 * IFERROR(VLOOKUP("electricity|NOx|Infant mortality", US_national_yearly!$D:$AM, 11, FALSE) / VLOOKUP("electricity|NOx|Infant mortality", US_national_yearly!$D:$AM, 10, FALSE), 1)</f>
        <v>6.4451167383770566E-7</v>
      </c>
      <c r="D3" s="7">
        <f>$B3 * IFERROR(VLOOKUP("electricity|NOx|Infant mortality", US_national_yearly!$D:$AM, 12, FALSE) / VLOOKUP("electricity|NOx|Infant mortality", US_national_yearly!$D:$AM, 10, FALSE), 1)</f>
        <v>6.3842495414586574E-7</v>
      </c>
      <c r="E3" s="7">
        <f>$B3 * IFERROR(VLOOKUP("electricity|NOx|Infant mortality", US_national_yearly!$D:$AM, 13, FALSE) / VLOOKUP("electricity|NOx|Infant mortality", US_national_yearly!$D:$AM, 10, FALSE), 1)</f>
        <v>6.3233823445402592E-7</v>
      </c>
      <c r="F3" s="7">
        <f>$B3 * IFERROR(VLOOKUP("electricity|NOx|Infant mortality", US_national_yearly!$D:$AM, 14, FALSE) / VLOOKUP("electricity|NOx|Infant mortality", US_national_yearly!$D:$AM, 10, FALSE), 1)</f>
        <v>6.2625151476218611E-7</v>
      </c>
      <c r="G3" s="7">
        <f>$B3 * IFERROR(VLOOKUP("electricity|NOx|Infant mortality", US_national_yearly!$D:$AM, 15, FALSE) / VLOOKUP("electricity|NOx|Infant mortality", US_national_yearly!$D:$AM, 10, FALSE), 1)</f>
        <v>4.149226552936576E-7</v>
      </c>
      <c r="H3" s="7">
        <f>$B3 * IFERROR(VLOOKUP("electricity|NOx|Infant mortality", US_national_yearly!$D:$AM, 16, FALSE) / VLOOKUP("electricity|NOx|Infant mortality", US_national_yearly!$D:$AM, 10, FALSE), 1)</f>
        <v>2.0359379582512914E-7</v>
      </c>
      <c r="I3" s="7">
        <f>$B3 * IFERROR(VLOOKUP("electricity|NOx|Infant mortality", US_national_yearly!$D:$AM, 17, FALSE) / VLOOKUP("electricity|NOx|Infant mortality", US_national_yearly!$D:$AM, 10, FALSE), 1)</f>
        <v>2.0211315048639183E-7</v>
      </c>
      <c r="J3" s="7">
        <f>$B3 * IFERROR(VLOOKUP("electricity|NOx|Infant mortality", US_national_yearly!$D:$AM, 18, FALSE) / VLOOKUP("electricity|NOx|Infant mortality", US_national_yearly!$D:$AM, 10, FALSE), 1)</f>
        <v>2.0063250514765449E-7</v>
      </c>
      <c r="K3" s="7">
        <f>$B3 * IFERROR(VLOOKUP("electricity|NOx|Infant mortality", US_national_yearly!$D:$AM, 19, FALSE) / VLOOKUP("electricity|NOx|Infant mortality", US_national_yearly!$D:$AM, 10, FALSE), 1)</f>
        <v>1.9915185980891718E-7</v>
      </c>
      <c r="L3" s="7">
        <f>$B3 * IFERROR(VLOOKUP("electricity|NOx|Infant mortality", US_national_yearly!$D:$AM, 20, FALSE) / VLOOKUP("electricity|NOx|Infant mortality", US_national_yearly!$D:$AM, 10, FALSE), 1)</f>
        <v>1.9767121447017987E-7</v>
      </c>
      <c r="M3" s="7">
        <f>$B3 * IFERROR(VLOOKUP("electricity|NOx|Infant mortality", US_national_yearly!$D:$AM, 21, FALSE) / VLOOKUP("electricity|NOx|Infant mortality", US_national_yearly!$D:$AM, 10, FALSE), 1)</f>
        <v>1.961905691314425E-7</v>
      </c>
      <c r="N3" s="7">
        <f>$B3 * IFERROR(VLOOKUP("electricity|NOx|Infant mortality", US_national_yearly!$D:$AM, 22, FALSE) / VLOOKUP("electricity|NOx|Infant mortality", US_national_yearly!$D:$AM, 10, FALSE), 1)</f>
        <v>1.951963051503985E-7</v>
      </c>
      <c r="O3" s="7">
        <f>$B3 * IFERROR(VLOOKUP("electricity|NOx|Infant mortality", US_national_yearly!$D:$AM, 23, FALSE) / VLOOKUP("electricity|NOx|Infant mortality", US_national_yearly!$D:$AM, 10, FALSE), 1)</f>
        <v>1.9420204116935447E-7</v>
      </c>
      <c r="P3" s="7">
        <f>$B3 * IFERROR(VLOOKUP("electricity|NOx|Infant mortality", US_national_yearly!$D:$AM, 24, FALSE) / VLOOKUP("electricity|NOx|Infant mortality", US_national_yearly!$D:$AM, 10, FALSE), 1)</f>
        <v>1.9320777718831044E-7</v>
      </c>
      <c r="Q3" s="7">
        <f>$B3 * IFERROR(VLOOKUP("electricity|NOx|Infant mortality", US_national_yearly!$D:$AM, 25, FALSE) / VLOOKUP("electricity|NOx|Infant mortality", US_national_yearly!$D:$AM, 10, FALSE), 1)</f>
        <v>1.922135132072664E-7</v>
      </c>
      <c r="R3" s="7">
        <f>$B3 * IFERROR(VLOOKUP("electricity|NOx|Infant mortality", US_national_yearly!$D:$AM, 26, FALSE) / VLOOKUP("electricity|NOx|Infant mortality", US_national_yearly!$D:$AM, 10, FALSE), 1)</f>
        <v>1.9121924922622243E-7</v>
      </c>
      <c r="S3" s="7">
        <f>$B3 * IFERROR(VLOOKUP("electricity|NOx|Infant mortality", US_national_yearly!$D:$AM, 27, FALSE) / VLOOKUP("electricity|NOx|Infant mortality", US_national_yearly!$D:$AM, 10, FALSE), 1)</f>
        <v>1.900388847351471E-7</v>
      </c>
      <c r="T3" s="7">
        <f>$B3 * IFERROR(VLOOKUP("electricity|NOx|Infant mortality", US_national_yearly!$D:$AM, 28, FALSE) / VLOOKUP("electricity|NOx|Infant mortality", US_national_yearly!$D:$AM, 10, FALSE), 1)</f>
        <v>1.8885852024407179E-7</v>
      </c>
      <c r="U3" s="7">
        <f>$B3 * IFERROR(VLOOKUP("electricity|NOx|Infant mortality", US_national_yearly!$D:$AM, 29, FALSE) / VLOOKUP("electricity|NOx|Infant mortality", US_national_yearly!$D:$AM, 10, FALSE), 1)</f>
        <v>1.8767815575299652E-7</v>
      </c>
      <c r="V3" s="7">
        <f>$B3 * IFERROR(VLOOKUP("electricity|NOx|Infant mortality", US_national_yearly!$D:$AM, 30, FALSE) / VLOOKUP("electricity|NOx|Infant mortality", US_national_yearly!$D:$AM, 10, FALSE), 1)</f>
        <v>1.8649779126192124E-7</v>
      </c>
      <c r="W3" s="7">
        <f>$B3 * IFERROR(VLOOKUP("electricity|NOx|Infant mortality", US_national_yearly!$D:$AM, 31, FALSE) / VLOOKUP("electricity|NOx|Infant mortality", US_national_yearly!$D:$AM, 10, FALSE), 1)</f>
        <v>1.8531742677084591E-7</v>
      </c>
      <c r="X3" s="7">
        <f>$B3 * IFERROR(VLOOKUP("electricity|NOx|Infant mortality", US_national_yearly!$D:$AM, 32, FALSE) / VLOOKUP("electricity|NOx|Infant mortality", US_national_yearly!$D:$AM, 10, FALSE), 1)</f>
        <v>1.8410203570462536E-7</v>
      </c>
      <c r="Y3" s="7">
        <f>$B3 * IFERROR(VLOOKUP("electricity|NOx|Infant mortality", US_national_yearly!$D:$AM, 33, FALSE) / VLOOKUP("electricity|NOx|Infant mortality", US_national_yearly!$D:$AM, 10, FALSE), 1)</f>
        <v>1.8288664463840478E-7</v>
      </c>
      <c r="Z3" s="7">
        <f>$B3 * IFERROR(VLOOKUP("electricity|NOx|Infant mortality", US_national_yearly!$D:$AM, 34, FALSE) / VLOOKUP("electricity|NOx|Infant mortality", US_national_yearly!$D:$AM, 10, FALSE), 1)</f>
        <v>1.8167125357218423E-7</v>
      </c>
      <c r="AA3" s="7">
        <f>$B3 * IFERROR(VLOOKUP("electricity|NOx|Infant mortality", US_national_yearly!$D:$AM, 35, FALSE) / VLOOKUP("electricity|NOx|Infant mortality", US_national_yearly!$D:$AM, 10, FALSE), 1)</f>
        <v>1.8045586250596366E-7</v>
      </c>
      <c r="AB3" s="7">
        <f>$B3 * IFERROR(VLOOKUP("electricity|NOx|Infant mortality", US_national_yearly!$D:$AM, 36, FALSE) / VLOOKUP("electricity|NOx|Infant mortality", US_national_yearly!$D:$AM, 10, FALSE), 1)</f>
        <v>1.7924047143974305E-7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6.4159481146211625E-4</v>
      </c>
      <c r="C6" s="7">
        <f>$B6 * IFERROR(VLOOKUP("electricity|NOx|Asthma symptoms cough", US_national_yearly!$D:$AM, 11, FALSE) / VLOOKUP("electricity|NOx|Asthma symptoms cough", US_national_yearly!$D:$AM, 10, FALSE), 1)</f>
        <v>6.5040309400506461E-4</v>
      </c>
      <c r="D6" s="7">
        <f>$B6 * IFERROR(VLOOKUP("electricity|NOx|Asthma symptoms cough", US_national_yearly!$D:$AM, 12, FALSE) / VLOOKUP("electricity|NOx|Asthma symptoms cough", US_national_yearly!$D:$AM, 10, FALSE), 1)</f>
        <v>6.5921137654801319E-4</v>
      </c>
      <c r="E6" s="7">
        <f>$B6 * IFERROR(VLOOKUP("electricity|NOx|Asthma symptoms cough", US_national_yearly!$D:$AM, 13, FALSE) / VLOOKUP("electricity|NOx|Asthma symptoms cough", US_national_yearly!$D:$AM, 10, FALSE), 1)</f>
        <v>6.6801965909096166E-4</v>
      </c>
      <c r="F6" s="7">
        <f>$B6 * IFERROR(VLOOKUP("electricity|NOx|Asthma symptoms cough", US_national_yearly!$D:$AM, 14, FALSE) / VLOOKUP("electricity|NOx|Asthma symptoms cough", US_national_yearly!$D:$AM, 10, FALSE), 1)</f>
        <v>6.7682794163391002E-4</v>
      </c>
      <c r="G6" s="7">
        <f>$B6 * IFERROR(VLOOKUP("electricity|NOx|Asthma symptoms cough", US_national_yearly!$D:$AM, 15, FALSE) / VLOOKUP("electricity|NOx|Asthma symptoms cough", US_national_yearly!$D:$AM, 10, FALSE), 1)</f>
        <v>6.8398954237620306E-4</v>
      </c>
      <c r="H6" s="7">
        <f>$B6 * IFERROR(VLOOKUP("electricity|NOx|Asthma symptoms cough", US_national_yearly!$D:$AM, 16, FALSE) / VLOOKUP("electricity|NOx|Asthma symptoms cough", US_national_yearly!$D:$AM, 10, FALSE), 1)</f>
        <v>6.911511431184961E-4</v>
      </c>
      <c r="I6" s="7">
        <f>$B6 * IFERROR(VLOOKUP("electricity|NOx|Asthma symptoms cough", US_national_yearly!$D:$AM, 17, FALSE) / VLOOKUP("electricity|NOx|Asthma symptoms cough", US_national_yearly!$D:$AM, 10, FALSE), 1)</f>
        <v>6.938133825595442E-4</v>
      </c>
      <c r="J6" s="7">
        <f>$B6 * IFERROR(VLOOKUP("electricity|NOx|Asthma symptoms cough", US_national_yearly!$D:$AM, 18, FALSE) / VLOOKUP("electricity|NOx|Asthma symptoms cough", US_national_yearly!$D:$AM, 10, FALSE), 1)</f>
        <v>6.964756220005922E-4</v>
      </c>
      <c r="K6" s="7">
        <f>$B6 * IFERROR(VLOOKUP("electricity|NOx|Asthma symptoms cough", US_national_yearly!$D:$AM, 19, FALSE) / VLOOKUP("electricity|NOx|Asthma symptoms cough", US_national_yearly!$D:$AM, 10, FALSE), 1)</f>
        <v>6.9913786144164053E-4</v>
      </c>
      <c r="L6" s="7">
        <f>$B6 * IFERROR(VLOOKUP("electricity|NOx|Asthma symptoms cough", US_national_yearly!$D:$AM, 20, FALSE) / VLOOKUP("electricity|NOx|Asthma symptoms cough", US_national_yearly!$D:$AM, 10, FALSE), 1)</f>
        <v>7.0180010088268863E-4</v>
      </c>
      <c r="M6" s="7">
        <f>$B6 * IFERROR(VLOOKUP("electricity|NOx|Asthma symptoms cough", US_national_yearly!$D:$AM, 21, FALSE) / VLOOKUP("electricity|NOx|Asthma symptoms cough", US_national_yearly!$D:$AM, 10, FALSE), 1)</f>
        <v>7.0446234032373685E-4</v>
      </c>
      <c r="N6" s="7">
        <f>$B6 * IFERROR(VLOOKUP("electricity|NOx|Asthma symptoms cough", US_national_yearly!$D:$AM, 22, FALSE) / VLOOKUP("electricity|NOx|Asthma symptoms cough", US_national_yearly!$D:$AM, 10, FALSE), 1)</f>
        <v>7.0741207944922404E-4</v>
      </c>
      <c r="O6" s="7">
        <f>$B6 * IFERROR(VLOOKUP("electricity|NOx|Asthma symptoms cough", US_national_yearly!$D:$AM, 23, FALSE) / VLOOKUP("electricity|NOx|Asthma symptoms cough", US_national_yearly!$D:$AM, 10, FALSE), 1)</f>
        <v>7.1036181857471133E-4</v>
      </c>
      <c r="P6" s="7">
        <f>$B6 * IFERROR(VLOOKUP("electricity|NOx|Asthma symptoms cough", US_national_yearly!$D:$AM, 24, FALSE) / VLOOKUP("electricity|NOx|Asthma symptoms cough", US_national_yearly!$D:$AM, 10, FALSE), 1)</f>
        <v>7.1331155770019852E-4</v>
      </c>
      <c r="Q6" s="7">
        <f>$B6 * IFERROR(VLOOKUP("electricity|NOx|Asthma symptoms cough", US_national_yearly!$D:$AM, 25, FALSE) / VLOOKUP("electricity|NOx|Asthma symptoms cough", US_national_yearly!$D:$AM, 10, FALSE), 1)</f>
        <v>7.1626129682568593E-4</v>
      </c>
      <c r="R6" s="7">
        <f>$B6 * IFERROR(VLOOKUP("electricity|NOx|Asthma symptoms cough", US_national_yearly!$D:$AM, 26, FALSE) / VLOOKUP("electricity|NOx|Asthma symptoms cough", US_national_yearly!$D:$AM, 10, FALSE), 1)</f>
        <v>7.1921103595117312E-4</v>
      </c>
      <c r="S6" s="7">
        <f>$B6 * IFERROR(VLOOKUP("electricity|NOx|Asthma symptoms cough", US_national_yearly!$D:$AM, 27, FALSE) / VLOOKUP("electricity|NOx|Asthma symptoms cough", US_national_yearly!$D:$AM, 10, FALSE), 1)</f>
        <v>7.2289110714549877E-4</v>
      </c>
      <c r="T6" s="7">
        <f>$B6 * IFERROR(VLOOKUP("electricity|NOx|Asthma symptoms cough", US_national_yearly!$D:$AM, 28, FALSE) / VLOOKUP("electricity|NOx|Asthma symptoms cough", US_national_yearly!$D:$AM, 10, FALSE), 1)</f>
        <v>7.2657117833982443E-4</v>
      </c>
      <c r="U6" s="7">
        <f>$B6 * IFERROR(VLOOKUP("electricity|NOx|Asthma symptoms cough", US_national_yearly!$D:$AM, 29, FALSE) / VLOOKUP("electricity|NOx|Asthma symptoms cough", US_national_yearly!$D:$AM, 10, FALSE), 1)</f>
        <v>7.302512495341503E-4</v>
      </c>
      <c r="V6" s="7">
        <f>$B6 * IFERROR(VLOOKUP("electricity|NOx|Asthma symptoms cough", US_national_yearly!$D:$AM, 30, FALSE) / VLOOKUP("electricity|NOx|Asthma symptoms cough", US_national_yearly!$D:$AM, 10, FALSE), 1)</f>
        <v>7.3393132072847595E-4</v>
      </c>
      <c r="W6" s="7">
        <f>$B6 * IFERROR(VLOOKUP("electricity|NOx|Asthma symptoms cough", US_national_yearly!$D:$AM, 31, FALSE) / VLOOKUP("electricity|NOx|Asthma symptoms cough", US_national_yearly!$D:$AM, 10, FALSE), 1)</f>
        <v>7.3761139192280161E-4</v>
      </c>
      <c r="X6" s="7">
        <f>$B6 * IFERROR(VLOOKUP("electricity|NOx|Asthma symptoms cough", US_national_yearly!$D:$AM, 32, FALSE) / VLOOKUP("electricity|NOx|Asthma symptoms cough", US_national_yearly!$D:$AM, 10, FALSE), 1)</f>
        <v>7.4100186607925207E-4</v>
      </c>
      <c r="Y6" s="7">
        <f>$B6 * IFERROR(VLOOKUP("electricity|NOx|Asthma symptoms cough", US_national_yearly!$D:$AM, 33, FALSE) / VLOOKUP("electricity|NOx|Asthma symptoms cough", US_national_yearly!$D:$AM, 10, FALSE), 1)</f>
        <v>7.4439234023570265E-4</v>
      </c>
      <c r="Z6" s="7">
        <f>$B6 * IFERROR(VLOOKUP("electricity|NOx|Asthma symptoms cough", US_national_yearly!$D:$AM, 34, FALSE) / VLOOKUP("electricity|NOx|Asthma symptoms cough", US_national_yearly!$D:$AM, 10, FALSE), 1)</f>
        <v>7.4778281439215322E-4</v>
      </c>
      <c r="AA6" s="7">
        <f>$B6 * IFERROR(VLOOKUP("electricity|NOx|Asthma symptoms cough", US_national_yearly!$D:$AM, 35, FALSE) / VLOOKUP("electricity|NOx|Asthma symptoms cough", US_national_yearly!$D:$AM, 10, FALSE), 1)</f>
        <v>7.5117328854860368E-4</v>
      </c>
      <c r="AB6" s="7">
        <f>$B6 * IFERROR(VLOOKUP("electricity|NOx|Asthma symptoms cough", US_national_yearly!$D:$AM, 36, FALSE) / VLOOKUP("electricity|NOx|Asthma symptoms cough", US_national_yearly!$D:$AM, 10, FALSE), 1)</f>
        <v>7.5456376270505426E-4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8.6400068849913571E-4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8.7586232146662018E-4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8.8772395443410476E-4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8.9958558740158923E-4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9.114472203690737E-4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9.2109135688971274E-4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9.3073549341035156E-4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9.3432058581915185E-4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9.3790567822795172E-4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9.414907706367518E-4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9.4507586304555166E-4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9.4866095545435164E-4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9.5263320798859991E-4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9.5660546052284839E-4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9.6057771305709666E-4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9.6454996559134515E-4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9.6852221812559341E-4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9.7347796897119022E-4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9.7843371981678681E-4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9.8338947066238373E-4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9.8834522150798021E-4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9.9330097235357712E-4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9.9786673868537765E-4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1.0024325050171784E-3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1.0069982713489791E-3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1.0115640376807797E-3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1.0161298040125804E-3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1.32004599814902E-3</v>
      </c>
      <c r="C8" s="7">
        <f>$B8 * IFERROR(VLOOKUP("electricity|NOx|Asthma symptoms wheeze", US_national_yearly!$D:$AM, 11, FALSE) / VLOOKUP("electricity|NOx|Asthma symptoms wheeze", US_national_yearly!$D:$AM, 10, FALSE), 1)</f>
        <v>1.3381685544893213E-3</v>
      </c>
      <c r="D8" s="7">
        <f>$B8 * IFERROR(VLOOKUP("electricity|NOx|Asthma symptoms wheeze", US_national_yearly!$D:$AM, 12, FALSE) / VLOOKUP("electricity|NOx|Asthma symptoms wheeze", US_national_yearly!$D:$AM, 10, FALSE), 1)</f>
        <v>1.3562911108296225E-3</v>
      </c>
      <c r="E8" s="7">
        <f>$B8 * IFERROR(VLOOKUP("electricity|NOx|Asthma symptoms wheeze", US_national_yearly!$D:$AM, 13, FALSE) / VLOOKUP("electricity|NOx|Asthma symptoms wheeze", US_national_yearly!$D:$AM, 10, FALSE), 1)</f>
        <v>1.3744136671699238E-3</v>
      </c>
      <c r="F8" s="7">
        <f>$B8 * IFERROR(VLOOKUP("electricity|NOx|Asthma symptoms wheeze", US_national_yearly!$D:$AM, 14, FALSE) / VLOOKUP("electricity|NOx|Asthma symptoms wheeze", US_national_yearly!$D:$AM, 10, FALSE), 1)</f>
        <v>1.3925362235102253E-3</v>
      </c>
      <c r="G8" s="7">
        <f>$B8 * IFERROR(VLOOKUP("electricity|NOx|Asthma symptoms wheeze", US_national_yearly!$D:$AM, 15, FALSE) / VLOOKUP("electricity|NOx|Asthma symptoms wheeze", US_national_yearly!$D:$AM, 10, FALSE), 1)</f>
        <v>1.4072708227101608E-3</v>
      </c>
      <c r="H8" s="7">
        <f>$B8 * IFERROR(VLOOKUP("electricity|NOx|Asthma symptoms wheeze", US_national_yearly!$D:$AM, 16, FALSE) / VLOOKUP("electricity|NOx|Asthma symptoms wheeze", US_national_yearly!$D:$AM, 10, FALSE), 1)</f>
        <v>1.4220054219100965E-3</v>
      </c>
      <c r="I8" s="7">
        <f>$B8 * IFERROR(VLOOKUP("electricity|NOx|Asthma symptoms wheeze", US_national_yearly!$D:$AM, 17, FALSE) / VLOOKUP("electricity|NOx|Asthma symptoms wheeze", US_national_yearly!$D:$AM, 10, FALSE), 1)</f>
        <v>1.427482832966068E-3</v>
      </c>
      <c r="J8" s="7">
        <f>$B8 * IFERROR(VLOOKUP("electricity|NOx|Asthma symptoms wheeze", US_national_yearly!$D:$AM, 18, FALSE) / VLOOKUP("electricity|NOx|Asthma symptoms wheeze", US_national_yearly!$D:$AM, 10, FALSE), 1)</f>
        <v>1.4329602440220394E-3</v>
      </c>
      <c r="K8" s="7">
        <f>$B8 * IFERROR(VLOOKUP("electricity|NOx|Asthma symptoms wheeze", US_national_yearly!$D:$AM, 19, FALSE) / VLOOKUP("electricity|NOx|Asthma symptoms wheeze", US_national_yearly!$D:$AM, 10, FALSE), 1)</f>
        <v>1.4384376550780112E-3</v>
      </c>
      <c r="L8" s="7">
        <f>$B8 * IFERROR(VLOOKUP("electricity|NOx|Asthma symptoms wheeze", US_national_yearly!$D:$AM, 20, FALSE) / VLOOKUP("electricity|NOx|Asthma symptoms wheeze", US_national_yearly!$D:$AM, 10, FALSE), 1)</f>
        <v>1.4439150661339827E-3</v>
      </c>
      <c r="M8" s="7">
        <f>$B8 * IFERROR(VLOOKUP("electricity|NOx|Asthma symptoms wheeze", US_national_yearly!$D:$AM, 21, FALSE) / VLOOKUP("electricity|NOx|Asthma symptoms wheeze", US_national_yearly!$D:$AM, 10, FALSE), 1)</f>
        <v>1.4493924771899541E-3</v>
      </c>
      <c r="N8" s="7">
        <f>$B8 * IFERROR(VLOOKUP("electricity|NOx|Asthma symptoms wheeze", US_national_yearly!$D:$AM, 22, FALSE) / VLOOKUP("electricity|NOx|Asthma symptoms wheeze", US_national_yearly!$D:$AM, 10, FALSE), 1)</f>
        <v>1.4554614030164146E-3</v>
      </c>
      <c r="O8" s="7">
        <f>$B8 * IFERROR(VLOOKUP("electricity|NOx|Asthma symptoms wheeze", US_national_yearly!$D:$AM, 23, FALSE) / VLOOKUP("electricity|NOx|Asthma symptoms wheeze", US_national_yearly!$D:$AM, 10, FALSE), 1)</f>
        <v>1.4615303288428756E-3</v>
      </c>
      <c r="P8" s="7">
        <f>$B8 * IFERROR(VLOOKUP("electricity|NOx|Asthma symptoms wheeze", US_national_yearly!$D:$AM, 24, FALSE) / VLOOKUP("electricity|NOx|Asthma symptoms wheeze", US_national_yearly!$D:$AM, 10, FALSE), 1)</f>
        <v>1.4675992546693364E-3</v>
      </c>
      <c r="Q8" s="7">
        <f>$B8 * IFERROR(VLOOKUP("electricity|NOx|Asthma symptoms wheeze", US_national_yearly!$D:$AM, 25, FALSE) / VLOOKUP("electricity|NOx|Asthma symptoms wheeze", US_national_yearly!$D:$AM, 10, FALSE), 1)</f>
        <v>1.4736681804957972E-3</v>
      </c>
      <c r="R8" s="7">
        <f>$B8 * IFERROR(VLOOKUP("electricity|NOx|Asthma symptoms wheeze", US_national_yearly!$D:$AM, 26, FALSE) / VLOOKUP("electricity|NOx|Asthma symptoms wheeze", US_national_yearly!$D:$AM, 10, FALSE), 1)</f>
        <v>1.4797371063222577E-3</v>
      </c>
      <c r="S8" s="7">
        <f>$B8 * IFERROR(VLOOKUP("electricity|NOx|Asthma symptoms wheeze", US_national_yearly!$D:$AM, 27, FALSE) / VLOOKUP("electricity|NOx|Asthma symptoms wheeze", US_national_yearly!$D:$AM, 10, FALSE), 1)</f>
        <v>1.487308650167636E-3</v>
      </c>
      <c r="T8" s="7">
        <f>$B8 * IFERROR(VLOOKUP("electricity|NOx|Asthma symptoms wheeze", US_national_yearly!$D:$AM, 28, FALSE) / VLOOKUP("electricity|NOx|Asthma symptoms wheeze", US_national_yearly!$D:$AM, 10, FALSE), 1)</f>
        <v>1.4948801940130143E-3</v>
      </c>
      <c r="U8" s="7">
        <f>$B8 * IFERROR(VLOOKUP("electricity|NOx|Asthma symptoms wheeze", US_national_yearly!$D:$AM, 29, FALSE) / VLOOKUP("electricity|NOx|Asthma symptoms wheeze", US_national_yearly!$D:$AM, 10, FALSE), 1)</f>
        <v>1.5024517378583924E-3</v>
      </c>
      <c r="V8" s="7">
        <f>$B8 * IFERROR(VLOOKUP("electricity|NOx|Asthma symptoms wheeze", US_national_yearly!$D:$AM, 30, FALSE) / VLOOKUP("electricity|NOx|Asthma symptoms wheeze", US_national_yearly!$D:$AM, 10, FALSE), 1)</f>
        <v>1.5100232817037706E-3</v>
      </c>
      <c r="W8" s="7">
        <f>$B8 * IFERROR(VLOOKUP("electricity|NOx|Asthma symptoms wheeze", US_national_yearly!$D:$AM, 31, FALSE) / VLOOKUP("electricity|NOx|Asthma symptoms wheeze", US_national_yearly!$D:$AM, 10, FALSE), 1)</f>
        <v>1.5175948255491489E-3</v>
      </c>
      <c r="X8" s="7">
        <f>$B8 * IFERROR(VLOOKUP("electricity|NOx|Asthma symptoms wheeze", US_national_yearly!$D:$AM, 32, FALSE) / VLOOKUP("electricity|NOx|Asthma symptoms wheeze", US_national_yearly!$D:$AM, 10, FALSE), 1)</f>
        <v>1.5245705394341172E-3</v>
      </c>
      <c r="Y8" s="7">
        <f>$B8 * IFERROR(VLOOKUP("electricity|NOx|Asthma symptoms wheeze", US_national_yearly!$D:$AM, 33, FALSE) / VLOOKUP("electricity|NOx|Asthma symptoms wheeze", US_national_yearly!$D:$AM, 10, FALSE), 1)</f>
        <v>1.5315462533190859E-3</v>
      </c>
      <c r="Z8" s="7">
        <f>$B8 * IFERROR(VLOOKUP("electricity|NOx|Asthma symptoms wheeze", US_national_yearly!$D:$AM, 34, FALSE) / VLOOKUP("electricity|NOx|Asthma symptoms wheeze", US_national_yearly!$D:$AM, 10, FALSE), 1)</f>
        <v>1.538521967204054E-3</v>
      </c>
      <c r="AA8" s="7">
        <f>$B8 * IFERROR(VLOOKUP("electricity|NOx|Asthma symptoms wheeze", US_national_yearly!$D:$AM, 35, FALSE) / VLOOKUP("electricity|NOx|Asthma symptoms wheeze", US_national_yearly!$D:$AM, 10, FALSE), 1)</f>
        <v>1.5454976810890227E-3</v>
      </c>
      <c r="AB8" s="7">
        <f>$B8 * IFERROR(VLOOKUP("electricity|NOx|Asthma symptoms wheeze", US_national_yearly!$D:$AM, 36, FALSE) / VLOOKUP("electricity|NOx|Asthma symptoms wheeze", US_national_yearly!$D:$AM, 10, FALSE), 1)</f>
        <v>1.552473394973991E-3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7.2204099091667762E-5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7.4053366667375516E-5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7.5902634243083298E-5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7.7751901818791052E-5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7.9601169394498793E-5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8.1381374750160481E-5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8.3161580105822183E-5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8.4692410257081367E-5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8.6223240408340551E-5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8.7754070559599762E-5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8.9284900710858933E-5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9.081573086211813E-5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9.1864827987550579E-5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9.2913925112983028E-5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9.3963022238415463E-5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9.5012119363847912E-5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9.6061216489280347E-5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9.6658710771759776E-5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9.7256205054239219E-5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9.7853699336718634E-5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9.8451193619198063E-5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9.9048687901677493E-5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9.9483272734655033E-5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9.9917857567632574E-5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1.0035244240061013E-4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1.0078702723358768E-4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1.0122161206656521E-4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4.1320209338852173E-4</v>
      </c>
      <c r="C13" s="7">
        <f>$B13 * IFERROR(VLOOKUP("electricity|NOx|Non-fatal heart attacks", US_national_yearly!$D:$AM, 11, FALSE) / VLOOKUP("electricity|NOx|Non-fatal heart attacks", US_national_yearly!$D:$AM, 10, FALSE), 1)</f>
        <v>4.2505985511788702E-4</v>
      </c>
      <c r="D13" s="7">
        <f>$B13 * IFERROR(VLOOKUP("electricity|NOx|Non-fatal heart attacks", US_national_yearly!$D:$AM, 12, FALSE) / VLOOKUP("electricity|NOx|Non-fatal heart attacks", US_national_yearly!$D:$AM, 10, FALSE), 1)</f>
        <v>4.3691761684725225E-4</v>
      </c>
      <c r="E13" s="7">
        <f>$B13 * IFERROR(VLOOKUP("electricity|NOx|Non-fatal heart attacks", US_national_yearly!$D:$AM, 13, FALSE) / VLOOKUP("electricity|NOx|Non-fatal heart attacks", US_national_yearly!$D:$AM, 10, FALSE), 1)</f>
        <v>4.4877537857661754E-4</v>
      </c>
      <c r="F13" s="7">
        <f>$B13 * IFERROR(VLOOKUP("electricity|NOx|Non-fatal heart attacks", US_national_yearly!$D:$AM, 14, FALSE) / VLOOKUP("electricity|NOx|Non-fatal heart attacks", US_national_yearly!$D:$AM, 10, FALSE), 1)</f>
        <v>4.6063314030598288E-4</v>
      </c>
      <c r="G13" s="7">
        <f>$B13 * IFERROR(VLOOKUP("electricity|NOx|Non-fatal heart attacks", US_national_yearly!$D:$AM, 15, FALSE) / VLOOKUP("electricity|NOx|Non-fatal heart attacks", US_national_yearly!$D:$AM, 10, FALSE), 1)</f>
        <v>4.7180360681774657E-4</v>
      </c>
      <c r="H13" s="7">
        <f>$B13 * IFERROR(VLOOKUP("electricity|NOx|Non-fatal heart attacks", US_national_yearly!$D:$AM, 16, FALSE) / VLOOKUP("electricity|NOx|Non-fatal heart attacks", US_national_yearly!$D:$AM, 10, FALSE), 1)</f>
        <v>4.8297407332951033E-4</v>
      </c>
      <c r="I13" s="7">
        <f>$B13 * IFERROR(VLOOKUP("electricity|NOx|Non-fatal heart attacks", US_national_yearly!$D:$AM, 17, FALSE) / VLOOKUP("electricity|NOx|Non-fatal heart attacks", US_national_yearly!$D:$AM, 10, FALSE), 1)</f>
        <v>4.9193165736349906E-4</v>
      </c>
      <c r="J13" s="7">
        <f>$B13 * IFERROR(VLOOKUP("electricity|NOx|Non-fatal heart attacks", US_national_yearly!$D:$AM, 18, FALSE) / VLOOKUP("electricity|NOx|Non-fatal heart attacks", US_national_yearly!$D:$AM, 10, FALSE), 1)</f>
        <v>5.0088924139748785E-4</v>
      </c>
      <c r="K13" s="7">
        <f>$B13 * IFERROR(VLOOKUP("electricity|NOx|Non-fatal heart attacks", US_national_yearly!$D:$AM, 19, FALSE) / VLOOKUP("electricity|NOx|Non-fatal heart attacks", US_national_yearly!$D:$AM, 10, FALSE), 1)</f>
        <v>5.098468254314761E-4</v>
      </c>
      <c r="L13" s="7">
        <f>$B13 * IFERROR(VLOOKUP("electricity|NOx|Non-fatal heart attacks", US_national_yearly!$D:$AM, 20, FALSE) / VLOOKUP("electricity|NOx|Non-fatal heart attacks", US_national_yearly!$D:$AM, 10, FALSE), 1)</f>
        <v>5.1880440946546489E-4</v>
      </c>
      <c r="M13" s="7">
        <f>$B13 * IFERROR(VLOOKUP("electricity|NOx|Non-fatal heart attacks", US_national_yearly!$D:$AM, 21, FALSE) / VLOOKUP("electricity|NOx|Non-fatal heart attacks", US_national_yearly!$D:$AM, 10, FALSE), 1)</f>
        <v>5.2776199349945378E-4</v>
      </c>
      <c r="N13" s="7">
        <f>$B13 * IFERROR(VLOOKUP("electricity|NOx|Non-fatal heart attacks", US_national_yearly!$D:$AM, 22, FALSE) / VLOOKUP("electricity|NOx|Non-fatal heart attacks", US_national_yearly!$D:$AM, 10, FALSE), 1)</f>
        <v>5.3328632168895662E-4</v>
      </c>
      <c r="O13" s="7">
        <f>$B13 * IFERROR(VLOOKUP("electricity|NOx|Non-fatal heart attacks", US_national_yearly!$D:$AM, 23, FALSE) / VLOOKUP("electricity|NOx|Non-fatal heart attacks", US_national_yearly!$D:$AM, 10, FALSE), 1)</f>
        <v>5.3881064987845978E-4</v>
      </c>
      <c r="P13" s="7">
        <f>$B13 * IFERROR(VLOOKUP("electricity|NOx|Non-fatal heart attacks", US_national_yearly!$D:$AM, 24, FALSE) / VLOOKUP("electricity|NOx|Non-fatal heart attacks", US_national_yearly!$D:$AM, 10, FALSE), 1)</f>
        <v>5.4433497806796272E-4</v>
      </c>
      <c r="Q13" s="7">
        <f>$B13 * IFERROR(VLOOKUP("electricity|NOx|Non-fatal heart attacks", US_national_yearly!$D:$AM, 25, FALSE) / VLOOKUP("electricity|NOx|Non-fatal heart attacks", US_national_yearly!$D:$AM, 10, FALSE), 1)</f>
        <v>5.4985930625746577E-4</v>
      </c>
      <c r="R13" s="7">
        <f>$B13 * IFERROR(VLOOKUP("electricity|NOx|Non-fatal heart attacks", US_national_yearly!$D:$AM, 26, FALSE) / VLOOKUP("electricity|NOx|Non-fatal heart attacks", US_national_yearly!$D:$AM, 10, FALSE), 1)</f>
        <v>5.5538363444696882E-4</v>
      </c>
      <c r="S13" s="7">
        <f>$B13 * IFERROR(VLOOKUP("electricity|NOx|Non-fatal heart attacks", US_national_yearly!$D:$AM, 27, FALSE) / VLOOKUP("electricity|NOx|Non-fatal heart attacks", US_national_yearly!$D:$AM, 10, FALSE), 1)</f>
        <v>5.580828027959661E-4</v>
      </c>
      <c r="T13" s="7">
        <f>$B13 * IFERROR(VLOOKUP("electricity|NOx|Non-fatal heart attacks", US_national_yearly!$D:$AM, 28, FALSE) / VLOOKUP("electricity|NOx|Non-fatal heart attacks", US_national_yearly!$D:$AM, 10, FALSE), 1)</f>
        <v>5.6078197114496349E-4</v>
      </c>
      <c r="U13" s="7">
        <f>$B13 * IFERROR(VLOOKUP("electricity|NOx|Non-fatal heart attacks", US_national_yearly!$D:$AM, 29, FALSE) / VLOOKUP("electricity|NOx|Non-fatal heart attacks", US_national_yearly!$D:$AM, 10, FALSE), 1)</f>
        <v>5.6348113949396088E-4</v>
      </c>
      <c r="V13" s="7">
        <f>$B13 * IFERROR(VLOOKUP("electricity|NOx|Non-fatal heart attacks", US_national_yearly!$D:$AM, 30, FALSE) / VLOOKUP("electricity|NOx|Non-fatal heart attacks", US_national_yearly!$D:$AM, 10, FALSE), 1)</f>
        <v>5.6618030784295827E-4</v>
      </c>
      <c r="W13" s="7">
        <f>$B13 * IFERROR(VLOOKUP("electricity|NOx|Non-fatal heart attacks", US_national_yearly!$D:$AM, 31, FALSE) / VLOOKUP("electricity|NOx|Non-fatal heart attacks", US_national_yearly!$D:$AM, 10, FALSE), 1)</f>
        <v>5.6887947619195566E-4</v>
      </c>
      <c r="X13" s="7">
        <f>$B13 * IFERROR(VLOOKUP("electricity|NOx|Non-fatal heart attacks", US_national_yearly!$D:$AM, 32, FALSE) / VLOOKUP("electricity|NOx|Non-fatal heart attacks", US_national_yearly!$D:$AM, 10, FALSE), 1)</f>
        <v>5.7076342396881455E-4</v>
      </c>
      <c r="Y13" s="7">
        <f>$B13 * IFERROR(VLOOKUP("electricity|NOx|Non-fatal heart attacks", US_national_yearly!$D:$AM, 33, FALSE) / VLOOKUP("electricity|NOx|Non-fatal heart attacks", US_national_yearly!$D:$AM, 10, FALSE), 1)</f>
        <v>5.7264737174567355E-4</v>
      </c>
      <c r="Z13" s="7">
        <f>$B13 * IFERROR(VLOOKUP("electricity|NOx|Non-fatal heart attacks", US_national_yearly!$D:$AM, 34, FALSE) / VLOOKUP("electricity|NOx|Non-fatal heart attacks", US_national_yearly!$D:$AM, 10, FALSE), 1)</f>
        <v>5.7453131952253243E-4</v>
      </c>
      <c r="AA13" s="7">
        <f>$B13 * IFERROR(VLOOKUP("electricity|NOx|Non-fatal heart attacks", US_national_yearly!$D:$AM, 35, FALSE) / VLOOKUP("electricity|NOx|Non-fatal heart attacks", US_national_yearly!$D:$AM, 10, FALSE), 1)</f>
        <v>5.7641526729939132E-4</v>
      </c>
      <c r="AB13" s="7">
        <f>$B13 * IFERROR(VLOOKUP("electricity|NOx|Non-fatal heart attacks", US_national_yearly!$D:$AM, 36, FALSE) / VLOOKUP("electricity|NOx|Non-fatal heart attacks", US_national_yearly!$D:$AM, 10, FALSE), 1)</f>
        <v>5.7829921507625032E-4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8.4157103845563699E-2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8.4286135060650982E-2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8.4415166275738265E-2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8.4544197490825548E-2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8.4673228705912845E-2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8.4898304235971112E-2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8.512337976602935E-2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8.5568690178004572E-2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8.6014000589979753E-2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8.6459311001954961E-2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8.6904621413930142E-2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8.7349931825905364E-2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8.7993888096759648E-2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8.8637844367613905E-2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8.9281800638468176E-2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8.9925756909322446E-2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9.0569713180176731E-2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9.1218539255969844E-2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9.1867365331762957E-2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9.2516191407556084E-2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9.3165017483349183E-2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9.3813843559142296E-2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9.4362558138282024E-2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9.4911272717421696E-2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9.5459987296561508E-2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9.6008701875701208E-2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9.6557416454840922E-2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1.4118790305693008E-2</v>
      </c>
      <c r="C15" s="7">
        <f>$B15 * IFERROR(VLOOKUP("electricity|NOx|Work loss days", US_national_yearly!$D:$AM, 11, FALSE) / VLOOKUP("electricity|NOx|Work loss days", US_national_yearly!$D:$AM, 10, FALSE), 1)</f>
        <v>1.4150280254135473E-2</v>
      </c>
      <c r="D15" s="7">
        <f>$B15 * IFERROR(VLOOKUP("electricity|NOx|Work loss days", US_national_yearly!$D:$AM, 12, FALSE) / VLOOKUP("electricity|NOx|Work loss days", US_national_yearly!$D:$AM, 10, FALSE), 1)</f>
        <v>1.4181770202577935E-2</v>
      </c>
      <c r="E15" s="7">
        <f>$B15 * IFERROR(VLOOKUP("electricity|NOx|Work loss days", US_national_yearly!$D:$AM, 13, FALSE) / VLOOKUP("electricity|NOx|Work loss days", US_national_yearly!$D:$AM, 10, FALSE), 1)</f>
        <v>1.4213260151020399E-2</v>
      </c>
      <c r="F15" s="7">
        <f>$B15 * IFERROR(VLOOKUP("electricity|NOx|Work loss days", US_national_yearly!$D:$AM, 14, FALSE) / VLOOKUP("electricity|NOx|Work loss days", US_national_yearly!$D:$AM, 10, FALSE), 1)</f>
        <v>1.4244750099462864E-2</v>
      </c>
      <c r="G15" s="7">
        <f>$B15 * IFERROR(VLOOKUP("electricity|NOx|Work loss days", US_national_yearly!$D:$AM, 15, FALSE) / VLOOKUP("electricity|NOx|Work loss days", US_national_yearly!$D:$AM, 10, FALSE), 1)</f>
        <v>1.4289143707953316E-2</v>
      </c>
      <c r="H15" s="7">
        <f>$B15 * IFERROR(VLOOKUP("electricity|NOx|Work loss days", US_national_yearly!$D:$AM, 16, FALSE) / VLOOKUP("electricity|NOx|Work loss days", US_national_yearly!$D:$AM, 10, FALSE), 1)</f>
        <v>1.4333537316443766E-2</v>
      </c>
      <c r="I15" s="7">
        <f>$B15 * IFERROR(VLOOKUP("electricity|NOx|Work loss days", US_national_yearly!$D:$AM, 17, FALSE) / VLOOKUP("electricity|NOx|Work loss days", US_national_yearly!$D:$AM, 10, FALSE), 1)</f>
        <v>1.4405620619277391E-2</v>
      </c>
      <c r="J15" s="7">
        <f>$B15 * IFERROR(VLOOKUP("electricity|NOx|Work loss days", US_national_yearly!$D:$AM, 18, FALSE) / VLOOKUP("electricity|NOx|Work loss days", US_national_yearly!$D:$AM, 10, FALSE), 1)</f>
        <v>1.4477703922111016E-2</v>
      </c>
      <c r="K15" s="7">
        <f>$B15 * IFERROR(VLOOKUP("electricity|NOx|Work loss days", US_national_yearly!$D:$AM, 19, FALSE) / VLOOKUP("electricity|NOx|Work loss days", US_national_yearly!$D:$AM, 10, FALSE), 1)</f>
        <v>1.4549787224944639E-2</v>
      </c>
      <c r="L15" s="7">
        <f>$B15 * IFERROR(VLOOKUP("electricity|NOx|Work loss days", US_national_yearly!$D:$AM, 20, FALSE) / VLOOKUP("electricity|NOx|Work loss days", US_national_yearly!$D:$AM, 10, FALSE), 1)</f>
        <v>1.4621870527778261E-2</v>
      </c>
      <c r="M15" s="7">
        <f>$B15 * IFERROR(VLOOKUP("electricity|NOx|Work loss days", US_national_yearly!$D:$AM, 21, FALSE) / VLOOKUP("electricity|NOx|Work loss days", US_national_yearly!$D:$AM, 10, FALSE), 1)</f>
        <v>1.4693953830611884E-2</v>
      </c>
      <c r="N15" s="7">
        <f>$B15 * IFERROR(VLOOKUP("electricity|NOx|Work loss days", US_national_yearly!$D:$AM, 22, FALSE) / VLOOKUP("electricity|NOx|Work loss days", US_national_yearly!$D:$AM, 10, FALSE), 1)</f>
        <v>1.4789058310298784E-2</v>
      </c>
      <c r="O15" s="7">
        <f>$B15 * IFERROR(VLOOKUP("electricity|NOx|Work loss days", US_national_yearly!$D:$AM, 23, FALSE) / VLOOKUP("electricity|NOx|Work loss days", US_national_yearly!$D:$AM, 10, FALSE), 1)</f>
        <v>1.4884162789985682E-2</v>
      </c>
      <c r="P15" s="7">
        <f>$B15 * IFERROR(VLOOKUP("electricity|NOx|Work loss days", US_national_yearly!$D:$AM, 24, FALSE) / VLOOKUP("electricity|NOx|Work loss days", US_national_yearly!$D:$AM, 10, FALSE), 1)</f>
        <v>1.4979267269672584E-2</v>
      </c>
      <c r="Q15" s="7">
        <f>$B15 * IFERROR(VLOOKUP("electricity|NOx|Work loss days", US_national_yearly!$D:$AM, 25, FALSE) / VLOOKUP("electricity|NOx|Work loss days", US_national_yearly!$D:$AM, 10, FALSE), 1)</f>
        <v>1.5074371749359486E-2</v>
      </c>
      <c r="R15" s="7">
        <f>$B15 * IFERROR(VLOOKUP("electricity|NOx|Work loss days", US_national_yearly!$D:$AM, 26, FALSE) / VLOOKUP("electricity|NOx|Work loss days", US_national_yearly!$D:$AM, 10, FALSE), 1)</f>
        <v>1.516947622904638E-2</v>
      </c>
      <c r="S15" s="7">
        <f>$B15 * IFERROR(VLOOKUP("electricity|NOx|Work loss days", US_national_yearly!$D:$AM, 27, FALSE) / VLOOKUP("electricity|NOx|Work loss days", US_national_yearly!$D:$AM, 10, FALSE), 1)</f>
        <v>1.5276052909153339E-2</v>
      </c>
      <c r="T15" s="7">
        <f>$B15 * IFERROR(VLOOKUP("electricity|NOx|Work loss days", US_national_yearly!$D:$AM, 28, FALSE) / VLOOKUP("electricity|NOx|Work loss days", US_national_yearly!$D:$AM, 10, FALSE), 1)</f>
        <v>1.5382629589260293E-2</v>
      </c>
      <c r="U15" s="7">
        <f>$B15 * IFERROR(VLOOKUP("electricity|NOx|Work loss days", US_national_yearly!$D:$AM, 29, FALSE) / VLOOKUP("electricity|NOx|Work loss days", US_national_yearly!$D:$AM, 10, FALSE), 1)</f>
        <v>1.5489206269367249E-2</v>
      </c>
      <c r="V15" s="7">
        <f>$B15 * IFERROR(VLOOKUP("electricity|NOx|Work loss days", US_national_yearly!$D:$AM, 30, FALSE) / VLOOKUP("electricity|NOx|Work loss days", US_national_yearly!$D:$AM, 10, FALSE), 1)</f>
        <v>1.5595782949474203E-2</v>
      </c>
      <c r="W15" s="7">
        <f>$B15 * IFERROR(VLOOKUP("electricity|NOx|Work loss days", US_national_yearly!$D:$AM, 31, FALSE) / VLOOKUP("electricity|NOx|Work loss days", US_national_yearly!$D:$AM, 10, FALSE), 1)</f>
        <v>1.5702359629581161E-2</v>
      </c>
      <c r="X15" s="7">
        <f>$B15 * IFERROR(VLOOKUP("electricity|NOx|Work loss days", US_national_yearly!$D:$AM, 32, FALSE) / VLOOKUP("electricity|NOx|Work loss days", US_national_yearly!$D:$AM, 10, FALSE), 1)</f>
        <v>1.5795262983070026E-2</v>
      </c>
      <c r="Y15" s="7">
        <f>$B15 * IFERROR(VLOOKUP("electricity|NOx|Work loss days", US_national_yearly!$D:$AM, 33, FALSE) / VLOOKUP("electricity|NOx|Work loss days", US_national_yearly!$D:$AM, 10, FALSE), 1)</f>
        <v>1.5888166336558894E-2</v>
      </c>
      <c r="Z15" s="7">
        <f>$B15 * IFERROR(VLOOKUP("electricity|NOx|Work loss days", US_national_yearly!$D:$AM, 34, FALSE) / VLOOKUP("electricity|NOx|Work loss days", US_national_yearly!$D:$AM, 10, FALSE), 1)</f>
        <v>1.5981069690047759E-2</v>
      </c>
      <c r="AA15" s="7">
        <f>$B15 * IFERROR(VLOOKUP("electricity|NOx|Work loss days", US_national_yearly!$D:$AM, 35, FALSE) / VLOOKUP("electricity|NOx|Work loss days", US_national_yearly!$D:$AM, 10, FALSE), 1)</f>
        <v>1.6073973043536628E-2</v>
      </c>
      <c r="AB15" s="7">
        <f>$B15 * IFERROR(VLOOKUP("electricity|NOx|Work loss days", US_national_yearly!$D:$AM, 36, FALSE) / VLOOKUP("electricity|NOx|Work loss days", US_national_yearly!$D:$AM, 10, FALSE), 1)</f>
        <v>1.6166876397025493E-2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1.0208592189378708E-4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1.0509302947105626E-4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1.0810013704832546E-4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1.1110724462559463E-4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1.1411435220286384E-4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1.1699389119011485E-4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1.1987343017736587E-4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1.2233126452338667E-4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1.2478909886940749E-4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1.2724693321542835E-4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1.2970476756144918E-4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1.3216260190746998E-4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1.3373997147564365E-4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1.3531734104381732E-4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1.36894710611991E-4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1.3847208018016467E-4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1.4004944974833834E-4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1.4082570111112781E-4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1.4160195247391727E-4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1.4237820383670673E-4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1.4315445519949623E-4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1.4393070656228572E-4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1.4439594348885046E-4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1.448611804154152E-4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1.4532641734197994E-4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1.4579165426854468E-4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1.4625689119510945E-4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5.6721309579785219E-4</v>
      </c>
      <c r="C2" s="7">
        <f>$B2 * IFERROR(VLOOKUP("electricity|SO2|Premature mortality", US_national_yearly!$D:$AM, 11, FALSE) / VLOOKUP("electricity|SO2|Premature mortality", US_national_yearly!$D:$AM, 10, FALSE), 1)</f>
        <v>5.7448489854573554E-4</v>
      </c>
      <c r="D2" s="7">
        <f>$B2 * IFERROR(VLOOKUP("electricity|SO2|Premature mortality", US_national_yearly!$D:$AM, 12, FALSE) / VLOOKUP("electricity|SO2|Premature mortality", US_national_yearly!$D:$AM, 10, FALSE), 1)</f>
        <v>5.8175670129361867E-4</v>
      </c>
      <c r="E2" s="7">
        <f>$B2 * IFERROR(VLOOKUP("electricity|SO2|Premature mortality", US_national_yearly!$D:$AM, 13, FALSE) / VLOOKUP("electricity|SO2|Premature mortality", US_national_yearly!$D:$AM, 10, FALSE), 1)</f>
        <v>5.8902850404150202E-4</v>
      </c>
      <c r="F2" s="7">
        <f>$B2 * IFERROR(VLOOKUP("electricity|SO2|Premature mortality", US_national_yearly!$D:$AM, 14, FALSE) / VLOOKUP("electricity|SO2|Premature mortality", US_national_yearly!$D:$AM, 10, FALSE), 1)</f>
        <v>5.9630030678938526E-4</v>
      </c>
      <c r="G2" s="7">
        <f>$B2 * IFERROR(VLOOKUP("electricity|SO2|Premature mortality", US_national_yearly!$D:$AM, 15, FALSE) / VLOOKUP("electricity|SO2|Premature mortality", US_national_yearly!$D:$AM, 10, FALSE), 1)</f>
        <v>6.1030871557000022E-4</v>
      </c>
      <c r="H2" s="7">
        <f>$B2 * IFERROR(VLOOKUP("electricity|SO2|Premature mortality", US_national_yearly!$D:$AM, 16, FALSE) / VLOOKUP("electricity|SO2|Premature mortality", US_national_yearly!$D:$AM, 10, FALSE), 1)</f>
        <v>6.2431712435061498E-4</v>
      </c>
      <c r="I2" s="7">
        <f>$B2 * IFERROR(VLOOKUP("electricity|SO2|Premature mortality", US_national_yearly!$D:$AM, 17, FALSE) / VLOOKUP("electricity|SO2|Premature mortality", US_national_yearly!$D:$AM, 10, FALSE), 1)</f>
        <v>6.3374671825146495E-4</v>
      </c>
      <c r="J2" s="7">
        <f>$B2 * IFERROR(VLOOKUP("electricity|SO2|Premature mortality", US_national_yearly!$D:$AM, 18, FALSE) / VLOOKUP("electricity|SO2|Premature mortality", US_national_yearly!$D:$AM, 10, FALSE), 1)</f>
        <v>6.4317631215231492E-4</v>
      </c>
      <c r="K2" s="7">
        <f>$B2 * IFERROR(VLOOKUP("electricity|SO2|Premature mortality", US_national_yearly!$D:$AM, 19, FALSE) / VLOOKUP("electricity|SO2|Premature mortality", US_national_yearly!$D:$AM, 10, FALSE), 1)</f>
        <v>6.5260590605316479E-4</v>
      </c>
      <c r="L2" s="7">
        <f>$B2 * IFERROR(VLOOKUP("electricity|SO2|Premature mortality", US_national_yearly!$D:$AM, 20, FALSE) / VLOOKUP("electricity|SO2|Premature mortality", US_national_yearly!$D:$AM, 10, FALSE), 1)</f>
        <v>6.6203549995401487E-4</v>
      </c>
      <c r="M2" s="7">
        <f>$B2 * IFERROR(VLOOKUP("electricity|SO2|Premature mortality", US_national_yearly!$D:$AM, 21, FALSE) / VLOOKUP("electricity|SO2|Premature mortality", US_national_yearly!$D:$AM, 10, FALSE), 1)</f>
        <v>6.7146509385486463E-4</v>
      </c>
      <c r="N2" s="7">
        <f>$B2 * IFERROR(VLOOKUP("electricity|SO2|Premature mortality", US_national_yearly!$D:$AM, 22, FALSE) / VLOOKUP("electricity|SO2|Premature mortality", US_national_yearly!$D:$AM, 10, FALSE), 1)</f>
        <v>6.7902216178665096E-4</v>
      </c>
      <c r="O2" s="7">
        <f>$B2 * IFERROR(VLOOKUP("electricity|SO2|Premature mortality", US_national_yearly!$D:$AM, 23, FALSE) / VLOOKUP("electricity|SO2|Premature mortality", US_national_yearly!$D:$AM, 10, FALSE), 1)</f>
        <v>6.865792297184374E-4</v>
      </c>
      <c r="P2" s="7">
        <f>$B2 * IFERROR(VLOOKUP("electricity|SO2|Premature mortality", US_national_yearly!$D:$AM, 24, FALSE) / VLOOKUP("electricity|SO2|Premature mortality", US_national_yearly!$D:$AM, 10, FALSE), 1)</f>
        <v>6.9413629765022352E-4</v>
      </c>
      <c r="Q2" s="7">
        <f>$B2 * IFERROR(VLOOKUP("electricity|SO2|Premature mortality", US_national_yearly!$D:$AM, 25, FALSE) / VLOOKUP("electricity|SO2|Premature mortality", US_national_yearly!$D:$AM, 10, FALSE), 1)</f>
        <v>7.0169336558200985E-4</v>
      </c>
      <c r="R2" s="7">
        <f>$B2 * IFERROR(VLOOKUP("electricity|SO2|Premature mortality", US_national_yearly!$D:$AM, 26, FALSE) / VLOOKUP("electricity|SO2|Premature mortality", US_national_yearly!$D:$AM, 10, FALSE), 1)</f>
        <v>7.0925043351379618E-4</v>
      </c>
      <c r="S2" s="7">
        <f>$B2 * IFERROR(VLOOKUP("electricity|SO2|Premature mortality", US_national_yearly!$D:$AM, 27, FALSE) / VLOOKUP("electricity|SO2|Premature mortality", US_national_yearly!$D:$AM, 10, FALSE), 1)</f>
        <v>7.1358312129760917E-4</v>
      </c>
      <c r="T2" s="7">
        <f>$B2 * IFERROR(VLOOKUP("electricity|SO2|Premature mortality", US_national_yearly!$D:$AM, 28, FALSE) / VLOOKUP("electricity|SO2|Premature mortality", US_national_yearly!$D:$AM, 10, FALSE), 1)</f>
        <v>7.1791580908142237E-4</v>
      </c>
      <c r="U2" s="7">
        <f>$B2 * IFERROR(VLOOKUP("electricity|SO2|Premature mortality", US_national_yearly!$D:$AM, 29, FALSE) / VLOOKUP("electricity|SO2|Premature mortality", US_national_yearly!$D:$AM, 10, FALSE), 1)</f>
        <v>7.2224849686523536E-4</v>
      </c>
      <c r="V2" s="7">
        <f>$B2 * IFERROR(VLOOKUP("electricity|SO2|Premature mortality", US_national_yearly!$D:$AM, 30, FALSE) / VLOOKUP("electricity|SO2|Premature mortality", US_national_yearly!$D:$AM, 10, FALSE), 1)</f>
        <v>7.2658118464904856E-4</v>
      </c>
      <c r="W2" s="7">
        <f>$B2 * IFERROR(VLOOKUP("electricity|SO2|Premature mortality", US_national_yearly!$D:$AM, 31, FALSE) / VLOOKUP("electricity|SO2|Premature mortality", US_national_yearly!$D:$AM, 10, FALSE), 1)</f>
        <v>7.3091387243286166E-4</v>
      </c>
      <c r="X2" s="7">
        <f>$B2 * IFERROR(VLOOKUP("electricity|SO2|Premature mortality", US_national_yearly!$D:$AM, 32, FALSE) / VLOOKUP("electricity|SO2|Premature mortality", US_national_yearly!$D:$AM, 10, FALSE), 1)</f>
        <v>7.32190480120709E-4</v>
      </c>
      <c r="Y2" s="7">
        <f>$B2 * IFERROR(VLOOKUP("electricity|SO2|Premature mortality", US_national_yearly!$D:$AM, 33, FALSE) / VLOOKUP("electricity|SO2|Premature mortality", US_national_yearly!$D:$AM, 10, FALSE), 1)</f>
        <v>7.3346708780855612E-4</v>
      </c>
      <c r="Z2" s="7">
        <f>$B2 * IFERROR(VLOOKUP("electricity|SO2|Premature mortality", US_national_yearly!$D:$AM, 34, FALSE) / VLOOKUP("electricity|SO2|Premature mortality", US_national_yearly!$D:$AM, 10, FALSE), 1)</f>
        <v>7.3474369549640336E-4</v>
      </c>
      <c r="AA2" s="7">
        <f>$B2 * IFERROR(VLOOKUP("electricity|SO2|Premature mortality", US_national_yearly!$D:$AM, 35, FALSE) / VLOOKUP("electricity|SO2|Premature mortality", US_national_yearly!$D:$AM, 10, FALSE), 1)</f>
        <v>7.360203031842507E-4</v>
      </c>
      <c r="AB2" s="7">
        <f>$B2 * IFERROR(VLOOKUP("electricity|SO2|Premature mortality", US_national_yearly!$D:$AM, 36, FALSE) / VLOOKUP("electricity|SO2|Premature mortality", US_national_yearly!$D:$AM, 10, FALSE), 1)</f>
        <v>7.3729691087209793E-4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1.4250740574148307E-6</v>
      </c>
      <c r="C3" s="7">
        <f>$B3 * IFERROR(VLOOKUP("electricity|SO2|Infant mortality", US_national_yearly!$D:$AM, 11, FALSE) / VLOOKUP("electricity|SO2|Infant mortality", US_national_yearly!$D:$AM, 10, FALSE), 1)</f>
        <v>1.4130348912160803E-6</v>
      </c>
      <c r="D3" s="7">
        <f>$B3 * IFERROR(VLOOKUP("electricity|SO2|Infant mortality", US_national_yearly!$D:$AM, 12, FALSE) / VLOOKUP("electricity|SO2|Infant mortality", US_national_yearly!$D:$AM, 10, FALSE), 1)</f>
        <v>1.4009957250173299E-6</v>
      </c>
      <c r="E3" s="7">
        <f>$B3 * IFERROR(VLOOKUP("electricity|SO2|Infant mortality", US_national_yearly!$D:$AM, 13, FALSE) / VLOOKUP("electricity|SO2|Infant mortality", US_national_yearly!$D:$AM, 10, FALSE), 1)</f>
        <v>1.3889565588185793E-6</v>
      </c>
      <c r="F3" s="7">
        <f>$B3 * IFERROR(VLOOKUP("electricity|SO2|Infant mortality", US_national_yearly!$D:$AM, 14, FALSE) / VLOOKUP("electricity|SO2|Infant mortality", US_national_yearly!$D:$AM, 10, FALSE), 1)</f>
        <v>1.3769173926198292E-6</v>
      </c>
      <c r="G3" s="7">
        <f>$B3 * IFERROR(VLOOKUP("electricity|SO2|Infant mortality", US_national_yearly!$D:$AM, 15, FALSE) / VLOOKUP("electricity|SO2|Infant mortality", US_national_yearly!$D:$AM, 10, FALSE), 1)</f>
        <v>9.1572139215735878E-7</v>
      </c>
      <c r="H3" s="7">
        <f>$B3 * IFERROR(VLOOKUP("electricity|SO2|Infant mortality", US_national_yearly!$D:$AM, 16, FALSE) / VLOOKUP("electricity|SO2|Infant mortality", US_national_yearly!$D:$AM, 10, FALSE), 1)</f>
        <v>4.545253916948883E-7</v>
      </c>
      <c r="I3" s="7">
        <f>$B3 * IFERROR(VLOOKUP("electricity|SO2|Infant mortality", US_national_yearly!$D:$AM, 17, FALSE) / VLOOKUP("electricity|SO2|Infant mortality", US_national_yearly!$D:$AM, 10, FALSE), 1)</f>
        <v>4.5161757430133229E-7</v>
      </c>
      <c r="J3" s="7">
        <f>$B3 * IFERROR(VLOOKUP("electricity|SO2|Infant mortality", US_national_yearly!$D:$AM, 18, FALSE) / VLOOKUP("electricity|SO2|Infant mortality", US_national_yearly!$D:$AM, 10, FALSE), 1)</f>
        <v>4.4870975690777624E-7</v>
      </c>
      <c r="K3" s="7">
        <f>$B3 * IFERROR(VLOOKUP("electricity|SO2|Infant mortality", US_national_yearly!$D:$AM, 19, FALSE) / VLOOKUP("electricity|SO2|Infant mortality", US_national_yearly!$D:$AM, 10, FALSE), 1)</f>
        <v>4.4580193951422028E-7</v>
      </c>
      <c r="L3" s="7">
        <f>$B3 * IFERROR(VLOOKUP("electricity|SO2|Infant mortality", US_national_yearly!$D:$AM, 20, FALSE) / VLOOKUP("electricity|SO2|Infant mortality", US_national_yearly!$D:$AM, 10, FALSE), 1)</f>
        <v>4.4289412212066423E-7</v>
      </c>
      <c r="M3" s="7">
        <f>$B3 * IFERROR(VLOOKUP("electricity|SO2|Infant mortality", US_national_yearly!$D:$AM, 21, FALSE) / VLOOKUP("electricity|SO2|Infant mortality", US_national_yearly!$D:$AM, 10, FALSE), 1)</f>
        <v>4.3998630472710822E-7</v>
      </c>
      <c r="N3" s="7">
        <f>$B3 * IFERROR(VLOOKUP("electricity|SO2|Infant mortality", US_national_yearly!$D:$AM, 22, FALSE) / VLOOKUP("electricity|SO2|Infant mortality", US_national_yearly!$D:$AM, 10, FALSE), 1)</f>
        <v>4.3814378277235295E-7</v>
      </c>
      <c r="O3" s="7">
        <f>$B3 * IFERROR(VLOOKUP("electricity|SO2|Infant mortality", US_national_yearly!$D:$AM, 23, FALSE) / VLOOKUP("electricity|SO2|Infant mortality", US_national_yearly!$D:$AM, 10, FALSE), 1)</f>
        <v>4.3630126081759752E-7</v>
      </c>
      <c r="P3" s="7">
        <f>$B3 * IFERROR(VLOOKUP("electricity|SO2|Infant mortality", US_national_yearly!$D:$AM, 24, FALSE) / VLOOKUP("electricity|SO2|Infant mortality", US_national_yearly!$D:$AM, 10, FALSE), 1)</f>
        <v>4.3445873886284214E-7</v>
      </c>
      <c r="Q3" s="7">
        <f>$B3 * IFERROR(VLOOKUP("electricity|SO2|Infant mortality", US_national_yearly!$D:$AM, 25, FALSE) / VLOOKUP("electricity|SO2|Infant mortality", US_national_yearly!$D:$AM, 10, FALSE), 1)</f>
        <v>4.3261621690808682E-7</v>
      </c>
      <c r="R3" s="7">
        <f>$B3 * IFERROR(VLOOKUP("electricity|SO2|Infant mortality", US_national_yearly!$D:$AM, 26, FALSE) / VLOOKUP("electricity|SO2|Infant mortality", US_national_yearly!$D:$AM, 10, FALSE), 1)</f>
        <v>4.307736949533315E-7</v>
      </c>
      <c r="S3" s="7">
        <f>$B3 * IFERROR(VLOOKUP("electricity|SO2|Infant mortality", US_national_yearly!$D:$AM, 27, FALSE) / VLOOKUP("electricity|SO2|Infant mortality", US_national_yearly!$D:$AM, 10, FALSE), 1)</f>
        <v>4.2847722480419185E-7</v>
      </c>
      <c r="T3" s="7">
        <f>$B3 * IFERROR(VLOOKUP("electricity|SO2|Infant mortality", US_national_yearly!$D:$AM, 28, FALSE) / VLOOKUP("electricity|SO2|Infant mortality", US_national_yearly!$D:$AM, 10, FALSE), 1)</f>
        <v>4.2618075465505225E-7</v>
      </c>
      <c r="U3" s="7">
        <f>$B3 * IFERROR(VLOOKUP("electricity|SO2|Infant mortality", US_national_yearly!$D:$AM, 29, FALSE) / VLOOKUP("electricity|SO2|Infant mortality", US_national_yearly!$D:$AM, 10, FALSE), 1)</f>
        <v>4.238842845059127E-7</v>
      </c>
      <c r="V3" s="7">
        <f>$B3 * IFERROR(VLOOKUP("electricity|SO2|Infant mortality", US_national_yearly!$D:$AM, 30, FALSE) / VLOOKUP("electricity|SO2|Infant mortality", US_national_yearly!$D:$AM, 10, FALSE), 1)</f>
        <v>4.215878143567731E-7</v>
      </c>
      <c r="W3" s="7">
        <f>$B3 * IFERROR(VLOOKUP("electricity|SO2|Infant mortality", US_national_yearly!$D:$AM, 31, FALSE) / VLOOKUP("electricity|SO2|Infant mortality", US_national_yearly!$D:$AM, 10, FALSE), 1)</f>
        <v>4.1929134420763345E-7</v>
      </c>
      <c r="X3" s="7">
        <f>$B3 * IFERROR(VLOOKUP("electricity|SO2|Infant mortality", US_national_yearly!$D:$AM, 32, FALSE) / VLOOKUP("electricity|SO2|Infant mortality", US_national_yearly!$D:$AM, 10, FALSE), 1)</f>
        <v>4.1684107780814255E-7</v>
      </c>
      <c r="Y3" s="7">
        <f>$B3 * IFERROR(VLOOKUP("electricity|SO2|Infant mortality", US_national_yearly!$D:$AM, 33, FALSE) / VLOOKUP("electricity|SO2|Infant mortality", US_national_yearly!$D:$AM, 10, FALSE), 1)</f>
        <v>4.1439081140865149E-7</v>
      </c>
      <c r="Z3" s="7">
        <f>$B3 * IFERROR(VLOOKUP("electricity|SO2|Infant mortality", US_national_yearly!$D:$AM, 34, FALSE) / VLOOKUP("electricity|SO2|Infant mortality", US_national_yearly!$D:$AM, 10, FALSE), 1)</f>
        <v>4.1194054500916059E-7</v>
      </c>
      <c r="AA3" s="7">
        <f>$B3 * IFERROR(VLOOKUP("electricity|SO2|Infant mortality", US_national_yearly!$D:$AM, 35, FALSE) / VLOOKUP("electricity|SO2|Infant mortality", US_national_yearly!$D:$AM, 10, FALSE), 1)</f>
        <v>4.094902786096697E-7</v>
      </c>
      <c r="AB3" s="7">
        <f>$B3 * IFERROR(VLOOKUP("electricity|SO2|Infant mortality", US_national_yearly!$D:$AM, 36, FALSE) / VLOOKUP("electricity|SO2|Infant mortality", US_national_yearly!$D:$AM, 10, FALSE), 1)</f>
        <v>4.0704001221017875E-7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1.2396419797078093E-3</v>
      </c>
      <c r="C6" s="7">
        <f>$B6 * IFERROR(VLOOKUP("electricity|SO2|Asthma symptoms cough", US_national_yearly!$D:$AM, 11, FALSE) / VLOOKUP("electricity|SO2|Asthma symptoms cough", US_national_yearly!$D:$AM, 10, FALSE), 1)</f>
        <v>1.2396419797078093E-3</v>
      </c>
      <c r="D6" s="7">
        <f>$B6 * IFERROR(VLOOKUP("electricity|SO2|Asthma symptoms cough", US_national_yearly!$D:$AM, 12, FALSE) / VLOOKUP("electricity|SO2|Asthma symptoms cough", US_national_yearly!$D:$AM, 10, FALSE), 1)</f>
        <v>1.2396419797078093E-3</v>
      </c>
      <c r="E6" s="7">
        <f>$B6 * IFERROR(VLOOKUP("electricity|SO2|Asthma symptoms cough", US_national_yearly!$D:$AM, 13, FALSE) / VLOOKUP("electricity|SO2|Asthma symptoms cough", US_national_yearly!$D:$AM, 10, FALSE), 1)</f>
        <v>1.2396419797078093E-3</v>
      </c>
      <c r="F6" s="7">
        <f>$B6 * IFERROR(VLOOKUP("electricity|SO2|Asthma symptoms cough", US_national_yearly!$D:$AM, 14, FALSE) / VLOOKUP("electricity|SO2|Asthma symptoms cough", US_national_yearly!$D:$AM, 10, FALSE), 1)</f>
        <v>1.2396419797078093E-3</v>
      </c>
      <c r="G6" s="7">
        <f>$B6 * IFERROR(VLOOKUP("electricity|SO2|Asthma symptoms cough", US_national_yearly!$D:$AM, 15, FALSE) / VLOOKUP("electricity|SO2|Asthma symptoms cough", US_national_yearly!$D:$AM, 10, FALSE), 1)</f>
        <v>1.2396419797078093E-3</v>
      </c>
      <c r="H6" s="7">
        <f>$B6 * IFERROR(VLOOKUP("electricity|SO2|Asthma symptoms cough", US_national_yearly!$D:$AM, 16, FALSE) / VLOOKUP("electricity|SO2|Asthma symptoms cough", US_national_yearly!$D:$AM, 10, FALSE), 1)</f>
        <v>1.2396419797078093E-3</v>
      </c>
      <c r="I6" s="7">
        <f>$B6 * IFERROR(VLOOKUP("electricity|SO2|Asthma symptoms cough", US_national_yearly!$D:$AM, 17, FALSE) / VLOOKUP("electricity|SO2|Asthma symptoms cough", US_national_yearly!$D:$AM, 10, FALSE), 1)</f>
        <v>1.2396419797078093E-3</v>
      </c>
      <c r="J6" s="7">
        <f>$B6 * IFERROR(VLOOKUP("electricity|SO2|Asthma symptoms cough", US_national_yearly!$D:$AM, 18, FALSE) / VLOOKUP("electricity|SO2|Asthma symptoms cough", US_national_yearly!$D:$AM, 10, FALSE), 1)</f>
        <v>1.2396419797078093E-3</v>
      </c>
      <c r="K6" s="7">
        <f>$B6 * IFERROR(VLOOKUP("electricity|SO2|Asthma symptoms cough", US_national_yearly!$D:$AM, 19, FALSE) / VLOOKUP("electricity|SO2|Asthma symptoms cough", US_national_yearly!$D:$AM, 10, FALSE), 1)</f>
        <v>1.2396419797078093E-3</v>
      </c>
      <c r="L6" s="7">
        <f>$B6 * IFERROR(VLOOKUP("electricity|SO2|Asthma symptoms cough", US_national_yearly!$D:$AM, 20, FALSE) / VLOOKUP("electricity|SO2|Asthma symptoms cough", US_national_yearly!$D:$AM, 10, FALSE), 1)</f>
        <v>1.2396419797078093E-3</v>
      </c>
      <c r="M6" s="7">
        <f>$B6 * IFERROR(VLOOKUP("electricity|SO2|Asthma symptoms cough", US_national_yearly!$D:$AM, 21, FALSE) / VLOOKUP("electricity|SO2|Asthma symptoms cough", US_national_yearly!$D:$AM, 10, FALSE), 1)</f>
        <v>1.2396419797078093E-3</v>
      </c>
      <c r="N6" s="7">
        <f>$B6 * IFERROR(VLOOKUP("electricity|SO2|Asthma symptoms cough", US_national_yearly!$D:$AM, 22, FALSE) / VLOOKUP("electricity|SO2|Asthma symptoms cough", US_national_yearly!$D:$AM, 10, FALSE), 1)</f>
        <v>1.2396419797078093E-3</v>
      </c>
      <c r="O6" s="7">
        <f>$B6 * IFERROR(VLOOKUP("electricity|SO2|Asthma symptoms cough", US_national_yearly!$D:$AM, 23, FALSE) / VLOOKUP("electricity|SO2|Asthma symptoms cough", US_national_yearly!$D:$AM, 10, FALSE), 1)</f>
        <v>1.2396419797078093E-3</v>
      </c>
      <c r="P6" s="7">
        <f>$B6 * IFERROR(VLOOKUP("electricity|SO2|Asthma symptoms cough", US_national_yearly!$D:$AM, 24, FALSE) / VLOOKUP("electricity|SO2|Asthma symptoms cough", US_national_yearly!$D:$AM, 10, FALSE), 1)</f>
        <v>1.2396419797078093E-3</v>
      </c>
      <c r="Q6" s="7">
        <f>$B6 * IFERROR(VLOOKUP("electricity|SO2|Asthma symptoms cough", US_national_yearly!$D:$AM, 25, FALSE) / VLOOKUP("electricity|SO2|Asthma symptoms cough", US_national_yearly!$D:$AM, 10, FALSE), 1)</f>
        <v>1.2396419797078093E-3</v>
      </c>
      <c r="R6" s="7">
        <f>$B6 * IFERROR(VLOOKUP("electricity|SO2|Asthma symptoms cough", US_national_yearly!$D:$AM, 26, FALSE) / VLOOKUP("electricity|SO2|Asthma symptoms cough", US_national_yearly!$D:$AM, 10, FALSE), 1)</f>
        <v>1.2396419797078093E-3</v>
      </c>
      <c r="S6" s="7">
        <f>$B6 * IFERROR(VLOOKUP("electricity|SO2|Asthma symptoms cough", US_national_yearly!$D:$AM, 27, FALSE) / VLOOKUP("electricity|SO2|Asthma symptoms cough", US_national_yearly!$D:$AM, 10, FALSE), 1)</f>
        <v>1.2396419797078093E-3</v>
      </c>
      <c r="T6" s="7">
        <f>$B6 * IFERROR(VLOOKUP("electricity|SO2|Asthma symptoms cough", US_national_yearly!$D:$AM, 28, FALSE) / VLOOKUP("electricity|SO2|Asthma symptoms cough", US_national_yearly!$D:$AM, 10, FALSE), 1)</f>
        <v>1.2396419797078093E-3</v>
      </c>
      <c r="U6" s="7">
        <f>$B6 * IFERROR(VLOOKUP("electricity|SO2|Asthma symptoms cough", US_national_yearly!$D:$AM, 29, FALSE) / VLOOKUP("electricity|SO2|Asthma symptoms cough", US_national_yearly!$D:$AM, 10, FALSE), 1)</f>
        <v>1.2396419797078093E-3</v>
      </c>
      <c r="V6" s="7">
        <f>$B6 * IFERROR(VLOOKUP("electricity|SO2|Asthma symptoms cough", US_national_yearly!$D:$AM, 30, FALSE) / VLOOKUP("electricity|SO2|Asthma symptoms cough", US_national_yearly!$D:$AM, 10, FALSE), 1)</f>
        <v>1.2396419797078093E-3</v>
      </c>
      <c r="W6" s="7">
        <f>$B6 * IFERROR(VLOOKUP("electricity|SO2|Asthma symptoms cough", US_national_yearly!$D:$AM, 31, FALSE) / VLOOKUP("electricity|SO2|Asthma symptoms cough", US_national_yearly!$D:$AM, 10, FALSE), 1)</f>
        <v>1.2396419797078093E-3</v>
      </c>
      <c r="X6" s="7">
        <f>$B6 * IFERROR(VLOOKUP("electricity|SO2|Asthma symptoms cough", US_national_yearly!$D:$AM, 32, FALSE) / VLOOKUP("electricity|SO2|Asthma symptoms cough", US_national_yearly!$D:$AM, 10, FALSE), 1)</f>
        <v>1.2396419797078093E-3</v>
      </c>
      <c r="Y6" s="7">
        <f>$B6 * IFERROR(VLOOKUP("electricity|SO2|Asthma symptoms cough", US_national_yearly!$D:$AM, 33, FALSE) / VLOOKUP("electricity|SO2|Asthma symptoms cough", US_national_yearly!$D:$AM, 10, FALSE), 1)</f>
        <v>1.2396419797078093E-3</v>
      </c>
      <c r="Z6" s="7">
        <f>$B6 * IFERROR(VLOOKUP("electricity|SO2|Asthma symptoms cough", US_national_yearly!$D:$AM, 34, FALSE) / VLOOKUP("electricity|SO2|Asthma symptoms cough", US_national_yearly!$D:$AM, 10, FALSE), 1)</f>
        <v>1.2396419797078093E-3</v>
      </c>
      <c r="AA6" s="7">
        <f>$B6 * IFERROR(VLOOKUP("electricity|SO2|Asthma symptoms cough", US_national_yearly!$D:$AM, 35, FALSE) / VLOOKUP("electricity|SO2|Asthma symptoms cough", US_national_yearly!$D:$AM, 10, FALSE), 1)</f>
        <v>1.2396419797078093E-3</v>
      </c>
      <c r="AB6" s="7">
        <f>$B6 * IFERROR(VLOOKUP("electricity|SO2|Asthma symptoms cough", US_national_yearly!$D:$AM, 36, FALSE) / VLOOKUP("electricity|SO2|Asthma symptoms cough", US_national_yearly!$D:$AM, 10, FALSE), 1)</f>
        <v>1.2396419797078093E-3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1.6693592293241717E-3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1.6693592293241717E-3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1.6693592293241717E-3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1.6693592293241717E-3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1.6693592293241717E-3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1.6693592293241717E-3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1.6693592293241717E-3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1.6693592293241717E-3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1.6693592293241717E-3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1.6693592293241717E-3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1.6693592293241717E-3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1.6693592293241717E-3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1.6693592293241717E-3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1.6693592293241717E-3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1.6693592293241717E-3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1.6693592293241717E-3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1.6693592293241717E-3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1.6693592293241717E-3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1.6693592293241717E-3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1.6693592293241717E-3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1.6693592293241717E-3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1.6693592293241717E-3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1.6693592293241717E-3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1.6693592293241717E-3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1.6693592293241717E-3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1.6693592293241717E-3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1.6693592293241717E-3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2.5504929046524763E-3</v>
      </c>
      <c r="C8" s="7">
        <f>$B8 * IFERROR(VLOOKUP("electricity|SO2|Asthma symptoms wheeze", US_national_yearly!$D:$AM, 11, FALSE) / VLOOKUP("electricity|SO2|Asthma symptoms wheeze", US_national_yearly!$D:$AM, 10, FALSE), 1)</f>
        <v>2.5504929046524763E-3</v>
      </c>
      <c r="D8" s="7">
        <f>$B8 * IFERROR(VLOOKUP("electricity|SO2|Asthma symptoms wheeze", US_national_yearly!$D:$AM, 12, FALSE) / VLOOKUP("electricity|SO2|Asthma symptoms wheeze", US_national_yearly!$D:$AM, 10, FALSE), 1)</f>
        <v>2.5504929046524763E-3</v>
      </c>
      <c r="E8" s="7">
        <f>$B8 * IFERROR(VLOOKUP("electricity|SO2|Asthma symptoms wheeze", US_national_yearly!$D:$AM, 13, FALSE) / VLOOKUP("electricity|SO2|Asthma symptoms wheeze", US_national_yearly!$D:$AM, 10, FALSE), 1)</f>
        <v>2.5504929046524763E-3</v>
      </c>
      <c r="F8" s="7">
        <f>$B8 * IFERROR(VLOOKUP("electricity|SO2|Asthma symptoms wheeze", US_national_yearly!$D:$AM, 14, FALSE) / VLOOKUP("electricity|SO2|Asthma symptoms wheeze", US_national_yearly!$D:$AM, 10, FALSE), 1)</f>
        <v>2.5504929046524763E-3</v>
      </c>
      <c r="G8" s="7">
        <f>$B8 * IFERROR(VLOOKUP("electricity|SO2|Asthma symptoms wheeze", US_national_yearly!$D:$AM, 15, FALSE) / VLOOKUP("electricity|SO2|Asthma symptoms wheeze", US_national_yearly!$D:$AM, 10, FALSE), 1)</f>
        <v>2.5504929046524763E-3</v>
      </c>
      <c r="H8" s="7">
        <f>$B8 * IFERROR(VLOOKUP("electricity|SO2|Asthma symptoms wheeze", US_national_yearly!$D:$AM, 16, FALSE) / VLOOKUP("electricity|SO2|Asthma symptoms wheeze", US_national_yearly!$D:$AM, 10, FALSE), 1)</f>
        <v>2.5504929046524763E-3</v>
      </c>
      <c r="I8" s="7">
        <f>$B8 * IFERROR(VLOOKUP("electricity|SO2|Asthma symptoms wheeze", US_national_yearly!$D:$AM, 17, FALSE) / VLOOKUP("electricity|SO2|Asthma symptoms wheeze", US_national_yearly!$D:$AM, 10, FALSE), 1)</f>
        <v>2.5504929046524763E-3</v>
      </c>
      <c r="J8" s="7">
        <f>$B8 * IFERROR(VLOOKUP("electricity|SO2|Asthma symptoms wheeze", US_national_yearly!$D:$AM, 18, FALSE) / VLOOKUP("electricity|SO2|Asthma symptoms wheeze", US_national_yearly!$D:$AM, 10, FALSE), 1)</f>
        <v>2.5504929046524763E-3</v>
      </c>
      <c r="K8" s="7">
        <f>$B8 * IFERROR(VLOOKUP("electricity|SO2|Asthma symptoms wheeze", US_national_yearly!$D:$AM, 19, FALSE) / VLOOKUP("electricity|SO2|Asthma symptoms wheeze", US_national_yearly!$D:$AM, 10, FALSE), 1)</f>
        <v>2.5504929046524763E-3</v>
      </c>
      <c r="L8" s="7">
        <f>$B8 * IFERROR(VLOOKUP("electricity|SO2|Asthma symptoms wheeze", US_national_yearly!$D:$AM, 20, FALSE) / VLOOKUP("electricity|SO2|Asthma symptoms wheeze", US_national_yearly!$D:$AM, 10, FALSE), 1)</f>
        <v>2.5504929046524763E-3</v>
      </c>
      <c r="M8" s="7">
        <f>$B8 * IFERROR(VLOOKUP("electricity|SO2|Asthma symptoms wheeze", US_national_yearly!$D:$AM, 21, FALSE) / VLOOKUP("electricity|SO2|Asthma symptoms wheeze", US_national_yearly!$D:$AM, 10, FALSE), 1)</f>
        <v>2.5504929046524763E-3</v>
      </c>
      <c r="N8" s="7">
        <f>$B8 * IFERROR(VLOOKUP("electricity|SO2|Asthma symptoms wheeze", US_national_yearly!$D:$AM, 22, FALSE) / VLOOKUP("electricity|SO2|Asthma symptoms wheeze", US_national_yearly!$D:$AM, 10, FALSE), 1)</f>
        <v>2.5504929046524763E-3</v>
      </c>
      <c r="O8" s="7">
        <f>$B8 * IFERROR(VLOOKUP("electricity|SO2|Asthma symptoms wheeze", US_national_yearly!$D:$AM, 23, FALSE) / VLOOKUP("electricity|SO2|Asthma symptoms wheeze", US_national_yearly!$D:$AM, 10, FALSE), 1)</f>
        <v>2.5504929046524763E-3</v>
      </c>
      <c r="P8" s="7">
        <f>$B8 * IFERROR(VLOOKUP("electricity|SO2|Asthma symptoms wheeze", US_national_yearly!$D:$AM, 24, FALSE) / VLOOKUP("electricity|SO2|Asthma symptoms wheeze", US_national_yearly!$D:$AM, 10, FALSE), 1)</f>
        <v>2.5504929046524763E-3</v>
      </c>
      <c r="Q8" s="7">
        <f>$B8 * IFERROR(VLOOKUP("electricity|SO2|Asthma symptoms wheeze", US_national_yearly!$D:$AM, 25, FALSE) / VLOOKUP("electricity|SO2|Asthma symptoms wheeze", US_national_yearly!$D:$AM, 10, FALSE), 1)</f>
        <v>2.5504929046524763E-3</v>
      </c>
      <c r="R8" s="7">
        <f>$B8 * IFERROR(VLOOKUP("electricity|SO2|Asthma symptoms wheeze", US_national_yearly!$D:$AM, 26, FALSE) / VLOOKUP("electricity|SO2|Asthma symptoms wheeze", US_national_yearly!$D:$AM, 10, FALSE), 1)</f>
        <v>2.5504929046524763E-3</v>
      </c>
      <c r="S8" s="7">
        <f>$B8 * IFERROR(VLOOKUP("electricity|SO2|Asthma symptoms wheeze", US_national_yearly!$D:$AM, 27, FALSE) / VLOOKUP("electricity|SO2|Asthma symptoms wheeze", US_national_yearly!$D:$AM, 10, FALSE), 1)</f>
        <v>2.5504929046524763E-3</v>
      </c>
      <c r="T8" s="7">
        <f>$B8 * IFERROR(VLOOKUP("electricity|SO2|Asthma symptoms wheeze", US_national_yearly!$D:$AM, 28, FALSE) / VLOOKUP("electricity|SO2|Asthma symptoms wheeze", US_national_yearly!$D:$AM, 10, FALSE), 1)</f>
        <v>2.5504929046524763E-3</v>
      </c>
      <c r="U8" s="7">
        <f>$B8 * IFERROR(VLOOKUP("electricity|SO2|Asthma symptoms wheeze", US_national_yearly!$D:$AM, 29, FALSE) / VLOOKUP("electricity|SO2|Asthma symptoms wheeze", US_national_yearly!$D:$AM, 10, FALSE), 1)</f>
        <v>2.5504929046524763E-3</v>
      </c>
      <c r="V8" s="7">
        <f>$B8 * IFERROR(VLOOKUP("electricity|SO2|Asthma symptoms wheeze", US_national_yearly!$D:$AM, 30, FALSE) / VLOOKUP("electricity|SO2|Asthma symptoms wheeze", US_national_yearly!$D:$AM, 10, FALSE), 1)</f>
        <v>2.5504929046524763E-3</v>
      </c>
      <c r="W8" s="7">
        <f>$B8 * IFERROR(VLOOKUP("electricity|SO2|Asthma symptoms wheeze", US_national_yearly!$D:$AM, 31, FALSE) / VLOOKUP("electricity|SO2|Asthma symptoms wheeze", US_national_yearly!$D:$AM, 10, FALSE), 1)</f>
        <v>2.5504929046524763E-3</v>
      </c>
      <c r="X8" s="7">
        <f>$B8 * IFERROR(VLOOKUP("electricity|SO2|Asthma symptoms wheeze", US_national_yearly!$D:$AM, 32, FALSE) / VLOOKUP("electricity|SO2|Asthma symptoms wheeze", US_national_yearly!$D:$AM, 10, FALSE), 1)</f>
        <v>2.5504929046524763E-3</v>
      </c>
      <c r="Y8" s="7">
        <f>$B8 * IFERROR(VLOOKUP("electricity|SO2|Asthma symptoms wheeze", US_national_yearly!$D:$AM, 33, FALSE) / VLOOKUP("electricity|SO2|Asthma symptoms wheeze", US_national_yearly!$D:$AM, 10, FALSE), 1)</f>
        <v>2.5504929046524763E-3</v>
      </c>
      <c r="Z8" s="7">
        <f>$B8 * IFERROR(VLOOKUP("electricity|SO2|Asthma symptoms wheeze", US_national_yearly!$D:$AM, 34, FALSE) / VLOOKUP("electricity|SO2|Asthma symptoms wheeze", US_national_yearly!$D:$AM, 10, FALSE), 1)</f>
        <v>2.5504929046524763E-3</v>
      </c>
      <c r="AA8" s="7">
        <f>$B8 * IFERROR(VLOOKUP("electricity|SO2|Asthma symptoms wheeze", US_national_yearly!$D:$AM, 35, FALSE) / VLOOKUP("electricity|SO2|Asthma symptoms wheeze", US_national_yearly!$D:$AM, 10, FALSE), 1)</f>
        <v>2.5504929046524763E-3</v>
      </c>
      <c r="AB8" s="7">
        <f>$B8 * IFERROR(VLOOKUP("electricity|SO2|Asthma symptoms wheeze", US_national_yearly!$D:$AM, 36, FALSE) / VLOOKUP("electricity|SO2|Asthma symptoms wheeze", US_national_yearly!$D:$AM, 10, FALSE), 1)</f>
        <v>2.5504929046524763E-3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1.1376391481459197E-4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1.1443394228455761E-4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1.1510396975452326E-4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1.157739972244889E-4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1.1644402469445456E-4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1.1717415065579567E-4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1.1790427661713682E-4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1.1860666846216446E-4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1.1930906030719211E-4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1.2001145215221977E-4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1.207138439972474E-4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1.2141623584227506E-4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1.2192003369948697E-4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1.2242383155669891E-4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1.2292762941391083E-4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1.2343142727112274E-4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1.2393522512833466E-4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1.2441073614691779E-4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1.2488624716550095E-4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1.2536175818408409E-4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1.2583726920266725E-4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1.2631278022125041E-4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1.2676895075205556E-4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1.2722512128286078E-4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1.2768129181366599E-4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1.2813746234447115E-4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1.2859363287527636E-4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6.8383118840268547E-4</v>
      </c>
      <c r="C13" s="7">
        <f>$B13 * IFERROR(VLOOKUP("electricity|SO2|Non-fatal heart attacks", US_national_yearly!$D:$AM, 11, FALSE) / VLOOKUP("electricity|SO2|Non-fatal heart attacks", US_national_yearly!$D:$AM, 10, FALSE), 1)</f>
        <v>7.0397382551079697E-4</v>
      </c>
      <c r="D13" s="7">
        <f>$B13 * IFERROR(VLOOKUP("electricity|SO2|Non-fatal heart attacks", US_national_yearly!$D:$AM, 12, FALSE) / VLOOKUP("electricity|SO2|Non-fatal heart attacks", US_national_yearly!$D:$AM, 10, FALSE), 1)</f>
        <v>7.2411646261890826E-4</v>
      </c>
      <c r="E13" s="7">
        <f>$B13 * IFERROR(VLOOKUP("electricity|SO2|Non-fatal heart attacks", US_national_yearly!$D:$AM, 13, FALSE) / VLOOKUP("electricity|SO2|Non-fatal heart attacks", US_national_yearly!$D:$AM, 10, FALSE), 1)</f>
        <v>7.4425909972701976E-4</v>
      </c>
      <c r="F13" s="7">
        <f>$B13 * IFERROR(VLOOKUP("electricity|SO2|Non-fatal heart attacks", US_national_yearly!$D:$AM, 14, FALSE) / VLOOKUP("electricity|SO2|Non-fatal heart attacks", US_national_yearly!$D:$AM, 10, FALSE), 1)</f>
        <v>7.6440173683513116E-4</v>
      </c>
      <c r="G13" s="7">
        <f>$B13 * IFERROR(VLOOKUP("electricity|SO2|Non-fatal heart attacks", US_national_yearly!$D:$AM, 15, FALSE) / VLOOKUP("electricity|SO2|Non-fatal heart attacks", US_national_yearly!$D:$AM, 10, FALSE), 1)</f>
        <v>7.8351770379155277E-4</v>
      </c>
      <c r="H13" s="7">
        <f>$B13 * IFERROR(VLOOKUP("electricity|SO2|Non-fatal heart attacks", US_national_yearly!$D:$AM, 16, FALSE) / VLOOKUP("electricity|SO2|Non-fatal heart attacks", US_national_yearly!$D:$AM, 10, FALSE), 1)</f>
        <v>8.0263367074797449E-4</v>
      </c>
      <c r="I13" s="7">
        <f>$B13 * IFERROR(VLOOKUP("electricity|SO2|Non-fatal heart attacks", US_national_yearly!$D:$AM, 17, FALSE) / VLOOKUP("electricity|SO2|Non-fatal heart attacks", US_national_yearly!$D:$AM, 10, FALSE), 1)</f>
        <v>8.1820143778652357E-4</v>
      </c>
      <c r="J13" s="7">
        <f>$B13 * IFERROR(VLOOKUP("electricity|SO2|Non-fatal heart attacks", US_national_yearly!$D:$AM, 18, FALSE) / VLOOKUP("electricity|SO2|Non-fatal heart attacks", US_national_yearly!$D:$AM, 10, FALSE), 1)</f>
        <v>8.3376920482507253E-4</v>
      </c>
      <c r="K13" s="7">
        <f>$B13 * IFERROR(VLOOKUP("electricity|SO2|Non-fatal heart attacks", US_national_yearly!$D:$AM, 19, FALSE) / VLOOKUP("electricity|SO2|Non-fatal heart attacks", US_national_yearly!$D:$AM, 10, FALSE), 1)</f>
        <v>8.493369718636216E-4</v>
      </c>
      <c r="L13" s="7">
        <f>$B13 * IFERROR(VLOOKUP("electricity|SO2|Non-fatal heart attacks", US_national_yearly!$D:$AM, 20, FALSE) / VLOOKUP("electricity|SO2|Non-fatal heart attacks", US_national_yearly!$D:$AM, 10, FALSE), 1)</f>
        <v>8.6490473890217057E-4</v>
      </c>
      <c r="M13" s="7">
        <f>$B13 * IFERROR(VLOOKUP("electricity|SO2|Non-fatal heart attacks", US_national_yearly!$D:$AM, 21, FALSE) / VLOOKUP("electricity|SO2|Non-fatal heart attacks", US_national_yearly!$D:$AM, 10, FALSE), 1)</f>
        <v>8.8047250594071964E-4</v>
      </c>
      <c r="N13" s="7">
        <f>$B13 * IFERROR(VLOOKUP("electricity|SO2|Non-fatal heart attacks", US_national_yearly!$D:$AM, 22, FALSE) / VLOOKUP("electricity|SO2|Non-fatal heart attacks", US_national_yearly!$D:$AM, 10, FALSE), 1)</f>
        <v>8.9073871539635519E-4</v>
      </c>
      <c r="O13" s="7">
        <f>$B13 * IFERROR(VLOOKUP("electricity|SO2|Non-fatal heart attacks", US_national_yearly!$D:$AM, 23, FALSE) / VLOOKUP("electricity|SO2|Non-fatal heart attacks", US_national_yearly!$D:$AM, 10, FALSE), 1)</f>
        <v>9.0100492485199052E-4</v>
      </c>
      <c r="P13" s="7">
        <f>$B13 * IFERROR(VLOOKUP("electricity|SO2|Non-fatal heart attacks", US_national_yearly!$D:$AM, 24, FALSE) / VLOOKUP("electricity|SO2|Non-fatal heart attacks", US_national_yearly!$D:$AM, 10, FALSE), 1)</f>
        <v>9.1127113430762596E-4</v>
      </c>
      <c r="Q13" s="7">
        <f>$B13 * IFERROR(VLOOKUP("electricity|SO2|Non-fatal heart attacks", US_national_yearly!$D:$AM, 25, FALSE) / VLOOKUP("electricity|SO2|Non-fatal heart attacks", US_national_yearly!$D:$AM, 10, FALSE), 1)</f>
        <v>9.2153734376326151E-4</v>
      </c>
      <c r="R13" s="7">
        <f>$B13 * IFERROR(VLOOKUP("electricity|SO2|Non-fatal heart attacks", US_national_yearly!$D:$AM, 26, FALSE) / VLOOKUP("electricity|SO2|Non-fatal heart attacks", US_national_yearly!$D:$AM, 10, FALSE), 1)</f>
        <v>9.3180355321889705E-4</v>
      </c>
      <c r="S13" s="7">
        <f>$B13 * IFERROR(VLOOKUP("electricity|SO2|Non-fatal heart attacks", US_national_yearly!$D:$AM, 27, FALSE) / VLOOKUP("electricity|SO2|Non-fatal heart attacks", US_national_yearly!$D:$AM, 10, FALSE), 1)</f>
        <v>9.3739018009940996E-4</v>
      </c>
      <c r="T13" s="7">
        <f>$B13 * IFERROR(VLOOKUP("electricity|SO2|Non-fatal heart attacks", US_national_yearly!$D:$AM, 28, FALSE) / VLOOKUP("electricity|SO2|Non-fatal heart attacks", US_national_yearly!$D:$AM, 10, FALSE), 1)</f>
        <v>9.4297680697992298E-4</v>
      </c>
      <c r="U13" s="7">
        <f>$B13 * IFERROR(VLOOKUP("electricity|SO2|Non-fatal heart attacks", US_national_yearly!$D:$AM, 29, FALSE) / VLOOKUP("electricity|SO2|Non-fatal heart attacks", US_national_yearly!$D:$AM, 10, FALSE), 1)</f>
        <v>9.4856343386043611E-4</v>
      </c>
      <c r="V13" s="7">
        <f>$B13 * IFERROR(VLOOKUP("electricity|SO2|Non-fatal heart attacks", US_national_yearly!$D:$AM, 30, FALSE) / VLOOKUP("electricity|SO2|Non-fatal heart attacks", US_national_yearly!$D:$AM, 10, FALSE), 1)</f>
        <v>9.5415006074094891E-4</v>
      </c>
      <c r="W13" s="7">
        <f>$B13 * IFERROR(VLOOKUP("electricity|SO2|Non-fatal heart attacks", US_national_yearly!$D:$AM, 31, FALSE) / VLOOKUP("electricity|SO2|Non-fatal heart attacks", US_national_yearly!$D:$AM, 10, FALSE), 1)</f>
        <v>9.5973668762146193E-4</v>
      </c>
      <c r="X13" s="7">
        <f>$B13 * IFERROR(VLOOKUP("electricity|SO2|Non-fatal heart attacks", US_national_yearly!$D:$AM, 32, FALSE) / VLOOKUP("electricity|SO2|Non-fatal heart attacks", US_national_yearly!$D:$AM, 10, FALSE), 1)</f>
        <v>9.6402814973025556E-4</v>
      </c>
      <c r="Y13" s="7">
        <f>$B13 * IFERROR(VLOOKUP("electricity|SO2|Non-fatal heart attacks", US_national_yearly!$D:$AM, 33, FALSE) / VLOOKUP("electricity|SO2|Non-fatal heart attacks", US_national_yearly!$D:$AM, 10, FALSE), 1)</f>
        <v>9.683196118390493E-4</v>
      </c>
      <c r="Z13" s="7">
        <f>$B13 * IFERROR(VLOOKUP("electricity|SO2|Non-fatal heart attacks", US_national_yearly!$D:$AM, 34, FALSE) / VLOOKUP("electricity|SO2|Non-fatal heart attacks", US_national_yearly!$D:$AM, 10, FALSE), 1)</f>
        <v>9.7261107394784282E-4</v>
      </c>
      <c r="AA13" s="7">
        <f>$B13 * IFERROR(VLOOKUP("electricity|SO2|Non-fatal heart attacks", US_national_yearly!$D:$AM, 35, FALSE) / VLOOKUP("electricity|SO2|Non-fatal heart attacks", US_national_yearly!$D:$AM, 10, FALSE), 1)</f>
        <v>9.7690253605663634E-4</v>
      </c>
      <c r="AB13" s="7">
        <f>$B13 * IFERROR(VLOOKUP("electricity|SO2|Non-fatal heart attacks", US_national_yearly!$D:$AM, 36, FALSE) / VLOOKUP("electricity|SO2|Non-fatal heart attacks", US_national_yearly!$D:$AM, 10, FALSE), 1)</f>
        <v>9.8119399816543008E-4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0.15327042678251193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0.1536555880329481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0.15404074928338427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0.15442591053382046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0.1548110717842566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0.15536754652179102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0.15592402125932547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0.15687841827784685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0.15783281529636831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0.15878721231488971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0.15974160933341117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0.16069600635193257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0.16201034890664623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0.16332469146135986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0.16463903401607349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0.16595337657078715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0.16726771912550076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0.16861512746149213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0.16996253579748352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0.17130994413347486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0.17265735246946623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0.1740047608054576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0.17519033246862462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0.17637590413179161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0.1775614757949586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0.17874704745812561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0.1799326191212926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2.5893148532095657E-2</v>
      </c>
      <c r="C15" s="7">
        <f>$B15 * IFERROR(VLOOKUP("electricity|SO2|Work loss days", US_national_yearly!$D:$AM, 11, FALSE) / VLOOKUP("electricity|SO2|Work loss days", US_national_yearly!$D:$AM, 10, FALSE), 1)</f>
        <v>2.597699133013353E-2</v>
      </c>
      <c r="D15" s="7">
        <f>$B15 * IFERROR(VLOOKUP("electricity|SO2|Work loss days", US_national_yearly!$D:$AM, 12, FALSE) / VLOOKUP("electricity|SO2|Work loss days", US_national_yearly!$D:$AM, 10, FALSE), 1)</f>
        <v>2.6060834128171399E-2</v>
      </c>
      <c r="E15" s="7">
        <f>$B15 * IFERROR(VLOOKUP("electricity|SO2|Work loss days", US_national_yearly!$D:$AM, 13, FALSE) / VLOOKUP("electricity|SO2|Work loss days", US_national_yearly!$D:$AM, 10, FALSE), 1)</f>
        <v>2.6144676926209278E-2</v>
      </c>
      <c r="F15" s="7">
        <f>$B15 * IFERROR(VLOOKUP("electricity|SO2|Work loss days", US_national_yearly!$D:$AM, 14, FALSE) / VLOOKUP("electricity|SO2|Work loss days", US_national_yearly!$D:$AM, 10, FALSE), 1)</f>
        <v>2.6228519724247147E-2</v>
      </c>
      <c r="G15" s="7">
        <f>$B15 * IFERROR(VLOOKUP("electricity|SO2|Work loss days", US_national_yearly!$D:$AM, 15, FALSE) / VLOOKUP("electricity|SO2|Work loss days", US_national_yearly!$D:$AM, 10, FALSE), 1)</f>
        <v>2.633592754376448E-2</v>
      </c>
      <c r="H15" s="7">
        <f>$B15 * IFERROR(VLOOKUP("electricity|SO2|Work loss days", US_national_yearly!$D:$AM, 16, FALSE) / VLOOKUP("electricity|SO2|Work loss days", US_national_yearly!$D:$AM, 10, FALSE), 1)</f>
        <v>2.6443335363281809E-2</v>
      </c>
      <c r="I15" s="7">
        <f>$B15 * IFERROR(VLOOKUP("electricity|SO2|Work loss days", US_national_yearly!$D:$AM, 17, FALSE) / VLOOKUP("electricity|SO2|Work loss days", US_national_yearly!$D:$AM, 10, FALSE), 1)</f>
        <v>2.660048563751639E-2</v>
      </c>
      <c r="J15" s="7">
        <f>$B15 * IFERROR(VLOOKUP("electricity|SO2|Work loss days", US_national_yearly!$D:$AM, 18, FALSE) / VLOOKUP("electricity|SO2|Work loss days", US_national_yearly!$D:$AM, 10, FALSE), 1)</f>
        <v>2.6757635911750965E-2</v>
      </c>
      <c r="K15" s="7">
        <f>$B15 * IFERROR(VLOOKUP("electricity|SO2|Work loss days", US_national_yearly!$D:$AM, 19, FALSE) / VLOOKUP("electricity|SO2|Work loss days", US_national_yearly!$D:$AM, 10, FALSE), 1)</f>
        <v>2.6914786185985549E-2</v>
      </c>
      <c r="L15" s="7">
        <f>$B15 * IFERROR(VLOOKUP("electricity|SO2|Work loss days", US_national_yearly!$D:$AM, 20, FALSE) / VLOOKUP("electricity|SO2|Work loss days", US_national_yearly!$D:$AM, 10, FALSE), 1)</f>
        <v>2.7071936460220124E-2</v>
      </c>
      <c r="M15" s="7">
        <f>$B15 * IFERROR(VLOOKUP("electricity|SO2|Work loss days", US_national_yearly!$D:$AM, 21, FALSE) / VLOOKUP("electricity|SO2|Work loss days", US_national_yearly!$D:$AM, 10, FALSE), 1)</f>
        <v>2.7229086734454708E-2</v>
      </c>
      <c r="N15" s="7">
        <f>$B15 * IFERROR(VLOOKUP("electricity|SO2|Work loss days", US_national_yearly!$D:$AM, 22, FALSE) / VLOOKUP("electricity|SO2|Work loss days", US_national_yearly!$D:$AM, 10, FALSE), 1)</f>
        <v>2.7427920913729618E-2</v>
      </c>
      <c r="O15" s="7">
        <f>$B15 * IFERROR(VLOOKUP("electricity|SO2|Work loss days", US_national_yearly!$D:$AM, 23, FALSE) / VLOOKUP("electricity|SO2|Work loss days", US_national_yearly!$D:$AM, 10, FALSE), 1)</f>
        <v>2.7626755093004534E-2</v>
      </c>
      <c r="P15" s="7">
        <f>$B15 * IFERROR(VLOOKUP("electricity|SO2|Work loss days", US_national_yearly!$D:$AM, 24, FALSE) / VLOOKUP("electricity|SO2|Work loss days", US_national_yearly!$D:$AM, 10, FALSE), 1)</f>
        <v>2.782558927227945E-2</v>
      </c>
      <c r="Q15" s="7">
        <f>$B15 * IFERROR(VLOOKUP("electricity|SO2|Work loss days", US_national_yearly!$D:$AM, 25, FALSE) / VLOOKUP("electricity|SO2|Work loss days", US_national_yearly!$D:$AM, 10, FALSE), 1)</f>
        <v>2.802442345155436E-2</v>
      </c>
      <c r="R15" s="7">
        <f>$B15 * IFERROR(VLOOKUP("electricity|SO2|Work loss days", US_national_yearly!$D:$AM, 26, FALSE) / VLOOKUP("electricity|SO2|Work loss days", US_national_yearly!$D:$AM, 10, FALSE), 1)</f>
        <v>2.8223257630829272E-2</v>
      </c>
      <c r="S15" s="7">
        <f>$B15 * IFERROR(VLOOKUP("electricity|SO2|Work loss days", US_national_yearly!$D:$AM, 27, FALSE) / VLOOKUP("electricity|SO2|Work loss days", US_national_yearly!$D:$AM, 10, FALSE), 1)</f>
        <v>2.8446169300418146E-2</v>
      </c>
      <c r="T15" s="7">
        <f>$B15 * IFERROR(VLOOKUP("electricity|SO2|Work loss days", US_national_yearly!$D:$AM, 28, FALSE) / VLOOKUP("electricity|SO2|Work loss days", US_national_yearly!$D:$AM, 10, FALSE), 1)</f>
        <v>2.8669080970007019E-2</v>
      </c>
      <c r="U15" s="7">
        <f>$B15 * IFERROR(VLOOKUP("electricity|SO2|Work loss days", US_national_yearly!$D:$AM, 29, FALSE) / VLOOKUP("electricity|SO2|Work loss days", US_national_yearly!$D:$AM, 10, FALSE), 1)</f>
        <v>2.8891992639595895E-2</v>
      </c>
      <c r="V15" s="7">
        <f>$B15 * IFERROR(VLOOKUP("electricity|SO2|Work loss days", US_national_yearly!$D:$AM, 30, FALSE) / VLOOKUP("electricity|SO2|Work loss days", US_national_yearly!$D:$AM, 10, FALSE), 1)</f>
        <v>2.9114904309184772E-2</v>
      </c>
      <c r="W15" s="7">
        <f>$B15 * IFERROR(VLOOKUP("electricity|SO2|Work loss days", US_national_yearly!$D:$AM, 31, FALSE) / VLOOKUP("electricity|SO2|Work loss days", US_national_yearly!$D:$AM, 10, FALSE), 1)</f>
        <v>2.9337815978773649E-2</v>
      </c>
      <c r="X15" s="7">
        <f>$B15 * IFERROR(VLOOKUP("electricity|SO2|Work loss days", US_national_yearly!$D:$AM, 32, FALSE) / VLOOKUP("electricity|SO2|Work loss days", US_national_yearly!$D:$AM, 10, FALSE), 1)</f>
        <v>2.9538637345799791E-2</v>
      </c>
      <c r="Y15" s="7">
        <f>$B15 * IFERROR(VLOOKUP("electricity|SO2|Work loss days", US_national_yearly!$D:$AM, 33, FALSE) / VLOOKUP("electricity|SO2|Work loss days", US_national_yearly!$D:$AM, 10, FALSE), 1)</f>
        <v>2.9739458712825937E-2</v>
      </c>
      <c r="Z15" s="7">
        <f>$B15 * IFERROR(VLOOKUP("electricity|SO2|Work loss days", US_national_yearly!$D:$AM, 34, FALSE) / VLOOKUP("electricity|SO2|Work loss days", US_national_yearly!$D:$AM, 10, FALSE), 1)</f>
        <v>2.9940280079852076E-2</v>
      </c>
      <c r="AA15" s="7">
        <f>$B15 * IFERROR(VLOOKUP("electricity|SO2|Work loss days", US_national_yearly!$D:$AM, 35, FALSE) / VLOOKUP("electricity|SO2|Work loss days", US_national_yearly!$D:$AM, 10, FALSE), 1)</f>
        <v>3.0141101446878218E-2</v>
      </c>
      <c r="AB15" s="7">
        <f>$B15 * IFERROR(VLOOKUP("electricity|SO2|Work loss days", US_national_yearly!$D:$AM, 36, FALSE) / VLOOKUP("electricity|SO2|Work loss days", US_national_yearly!$D:$AM, 10, FALSE), 1)</f>
        <v>3.0341922813904364E-2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1.6897112616659764E-4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1.7409142099910024E-4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1.7921171583160284E-4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1.8433201066410547E-4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1.894523054966081E-4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1.9438794344201903E-4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1.9932358138743001E-4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2.0359656324750347E-4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2.0786954510757693E-4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2.1214252696765039E-4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2.1641550882772382E-4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2.2068849068779728E-4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2.2360478941503049E-4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2.2652108814226371E-4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2.29437386869497E-4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2.3235368559673019E-4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2.3526998432396343E-4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2.3686875271098149E-4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2.3846752109799951E-4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2.4006628948501757E-4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2.416650578720356E-4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2.432638262590536E-4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2.4436743660522777E-4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2.4547104695140189E-4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2.4657465729757607E-4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2.4767826764375019E-4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2.4878187798992436E-4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2.7813601122231035E-2</v>
      </c>
      <c r="C2" s="7">
        <f>$B2 * IFERROR(VLOOKUP("buildings|PM25|Premature mortality", US_national_yearly!$D:$AM, 11, FALSE) / VLOOKUP("buildings|PM25|Premature mortality", US_national_yearly!$D:$AM, 10, FALSE), 1)</f>
        <v>2.815867858642792E-2</v>
      </c>
      <c r="D2" s="7">
        <f>$B2 * IFERROR(VLOOKUP("buildings|PM25|Premature mortality", US_national_yearly!$D:$AM, 12, FALSE) / VLOOKUP("buildings|PM25|Premature mortality", US_national_yearly!$D:$AM, 10, FALSE), 1)</f>
        <v>2.8503756050624805E-2</v>
      </c>
      <c r="E2" s="7">
        <f>$B2 * IFERROR(VLOOKUP("buildings|PM25|Premature mortality", US_national_yearly!$D:$AM, 13, FALSE) / VLOOKUP("buildings|PM25|Premature mortality", US_national_yearly!$D:$AM, 10, FALSE), 1)</f>
        <v>2.884883351482169E-2</v>
      </c>
      <c r="F2" s="7">
        <f>$B2 * IFERROR(VLOOKUP("buildings|PM25|Premature mortality", US_national_yearly!$D:$AM, 14, FALSE) / VLOOKUP("buildings|PM25|Premature mortality", US_national_yearly!$D:$AM, 10, FALSE), 1)</f>
        <v>2.9193910979018575E-2</v>
      </c>
      <c r="G2" s="7">
        <f>$B2 * IFERROR(VLOOKUP("buildings|PM25|Premature mortality", US_national_yearly!$D:$AM, 15, FALSE) / VLOOKUP("buildings|PM25|Premature mortality", US_national_yearly!$D:$AM, 10, FALSE), 1)</f>
        <v>2.9865847567217101E-2</v>
      </c>
      <c r="H2" s="7">
        <f>$B2 * IFERROR(VLOOKUP("buildings|PM25|Premature mortality", US_national_yearly!$D:$AM, 16, FALSE) / VLOOKUP("buildings|PM25|Premature mortality", US_national_yearly!$D:$AM, 10, FALSE), 1)</f>
        <v>3.053778415541563E-2</v>
      </c>
      <c r="I2" s="7">
        <f>$B2 * IFERROR(VLOOKUP("buildings|PM25|Premature mortality", US_national_yearly!$D:$AM, 17, FALSE) / VLOOKUP("buildings|PM25|Premature mortality", US_national_yearly!$D:$AM, 10, FALSE), 1)</f>
        <v>3.0979705276014124E-2</v>
      </c>
      <c r="J2" s="7">
        <f>$B2 * IFERROR(VLOOKUP("buildings|PM25|Premature mortality", US_national_yearly!$D:$AM, 18, FALSE) / VLOOKUP("buildings|PM25|Premature mortality", US_national_yearly!$D:$AM, 10, FALSE), 1)</f>
        <v>3.1421626396612626E-2</v>
      </c>
      <c r="K2" s="7">
        <f>$B2 * IFERROR(VLOOKUP("buildings|PM25|Premature mortality", US_national_yearly!$D:$AM, 19, FALSE) / VLOOKUP("buildings|PM25|Premature mortality", US_national_yearly!$D:$AM, 10, FALSE), 1)</f>
        <v>3.186354751721112E-2</v>
      </c>
      <c r="L2" s="7">
        <f>$B2 * IFERROR(VLOOKUP("buildings|PM25|Premature mortality", US_national_yearly!$D:$AM, 20, FALSE) / VLOOKUP("buildings|PM25|Premature mortality", US_national_yearly!$D:$AM, 10, FALSE), 1)</f>
        <v>3.2305468637809621E-2</v>
      </c>
      <c r="M2" s="7">
        <f>$B2 * IFERROR(VLOOKUP("buildings|PM25|Premature mortality", US_national_yearly!$D:$AM, 21, FALSE) / VLOOKUP("buildings|PM25|Premature mortality", US_national_yearly!$D:$AM, 10, FALSE), 1)</f>
        <v>3.2747389758408116E-2</v>
      </c>
      <c r="N2" s="7">
        <f>$B2 * IFERROR(VLOOKUP("buildings|PM25|Premature mortality", US_national_yearly!$D:$AM, 22, FALSE) / VLOOKUP("buildings|PM25|Premature mortality", US_national_yearly!$D:$AM, 10, FALSE), 1)</f>
        <v>3.309103254558763E-2</v>
      </c>
      <c r="O2" s="7">
        <f>$B2 * IFERROR(VLOOKUP("buildings|PM25|Premature mortality", US_national_yearly!$D:$AM, 23, FALSE) / VLOOKUP("buildings|PM25|Premature mortality", US_national_yearly!$D:$AM, 10, FALSE), 1)</f>
        <v>3.3434675332767151E-2</v>
      </c>
      <c r="P2" s="7">
        <f>$B2 * IFERROR(VLOOKUP("buildings|PM25|Premature mortality", US_national_yearly!$D:$AM, 24, FALSE) / VLOOKUP("buildings|PM25|Premature mortality", US_national_yearly!$D:$AM, 10, FALSE), 1)</f>
        <v>3.3778318119946665E-2</v>
      </c>
      <c r="Q2" s="7">
        <f>$B2 * IFERROR(VLOOKUP("buildings|PM25|Premature mortality", US_national_yearly!$D:$AM, 25, FALSE) / VLOOKUP("buildings|PM25|Premature mortality", US_national_yearly!$D:$AM, 10, FALSE), 1)</f>
        <v>3.4121960907126193E-2</v>
      </c>
      <c r="R2" s="7">
        <f>$B2 * IFERROR(VLOOKUP("buildings|PM25|Premature mortality", US_national_yearly!$D:$AM, 26, FALSE) / VLOOKUP("buildings|PM25|Premature mortality", US_national_yearly!$D:$AM, 10, FALSE), 1)</f>
        <v>3.4465603694305715E-2</v>
      </c>
      <c r="S2" s="7">
        <f>$B2 * IFERROR(VLOOKUP("buildings|PM25|Premature mortality", US_national_yearly!$D:$AM, 27, FALSE) / VLOOKUP("buildings|PM25|Premature mortality", US_national_yearly!$D:$AM, 10, FALSE), 1)</f>
        <v>3.4648253249053421E-2</v>
      </c>
      <c r="T2" s="7">
        <f>$B2 * IFERROR(VLOOKUP("buildings|PM25|Premature mortality", US_national_yearly!$D:$AM, 28, FALSE) / VLOOKUP("buildings|PM25|Premature mortality", US_national_yearly!$D:$AM, 10, FALSE), 1)</f>
        <v>3.4830902803801141E-2</v>
      </c>
      <c r="U2" s="7">
        <f>$B2 * IFERROR(VLOOKUP("buildings|PM25|Premature mortality", US_national_yearly!$D:$AM, 29, FALSE) / VLOOKUP("buildings|PM25|Premature mortality", US_national_yearly!$D:$AM, 10, FALSE), 1)</f>
        <v>3.5013552358548861E-2</v>
      </c>
      <c r="V2" s="7">
        <f>$B2 * IFERROR(VLOOKUP("buildings|PM25|Premature mortality", US_national_yearly!$D:$AM, 30, FALSE) / VLOOKUP("buildings|PM25|Premature mortality", US_national_yearly!$D:$AM, 10, FALSE), 1)</f>
        <v>3.5196201913296574E-2</v>
      </c>
      <c r="W2" s="7">
        <f>$B2 * IFERROR(VLOOKUP("buildings|PM25|Premature mortality", US_national_yearly!$D:$AM, 31, FALSE) / VLOOKUP("buildings|PM25|Premature mortality", US_national_yearly!$D:$AM, 10, FALSE), 1)</f>
        <v>3.5378851468044287E-2</v>
      </c>
      <c r="X2" s="7">
        <f>$B2 * IFERROR(VLOOKUP("buildings|PM25|Premature mortality", US_national_yearly!$D:$AM, 32, FALSE) / VLOOKUP("buildings|PM25|Premature mortality", US_national_yearly!$D:$AM, 10, FALSE), 1)</f>
        <v>3.5411635596780684E-2</v>
      </c>
      <c r="Y2" s="7">
        <f>$B2 * IFERROR(VLOOKUP("buildings|PM25|Premature mortality", US_national_yearly!$D:$AM, 33, FALSE) / VLOOKUP("buildings|PM25|Premature mortality", US_national_yearly!$D:$AM, 10, FALSE), 1)</f>
        <v>3.5444419725517075E-2</v>
      </c>
      <c r="Z2" s="7">
        <f>$B2 * IFERROR(VLOOKUP("buildings|PM25|Premature mortality", US_national_yearly!$D:$AM, 34, FALSE) / VLOOKUP("buildings|PM25|Premature mortality", US_national_yearly!$D:$AM, 10, FALSE), 1)</f>
        <v>3.5477203854253472E-2</v>
      </c>
      <c r="AA2" s="7">
        <f>$B2 * IFERROR(VLOOKUP("buildings|PM25|Premature mortality", US_national_yearly!$D:$AM, 35, FALSE) / VLOOKUP("buildings|PM25|Premature mortality", US_national_yearly!$D:$AM, 10, FALSE), 1)</f>
        <v>3.550998798298987E-2</v>
      </c>
      <c r="AB2" s="7">
        <f>$B2 * IFERROR(VLOOKUP("buildings|PM25|Premature mortality", US_national_yearly!$D:$AM, 36, FALSE) / VLOOKUP("buildings|PM25|Premature mortality", US_national_yearly!$D:$AM, 10, FALSE), 1)</f>
        <v>3.554277211172626E-2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9.4473724334044853E-5</v>
      </c>
      <c r="C3" s="7">
        <f>$B3 * IFERROR(VLOOKUP("buildings|PM25|Infant mortality", US_national_yearly!$D:$AM, 11, FALSE) / VLOOKUP("buildings|PM25|Infant mortality", US_national_yearly!$D:$AM, 10, FALSE), 1)</f>
        <v>9.3655429055724418E-5</v>
      </c>
      <c r="D3" s="7">
        <f>$B3 * IFERROR(VLOOKUP("buildings|PM25|Infant mortality", US_national_yearly!$D:$AM, 12, FALSE) / VLOOKUP("buildings|PM25|Infant mortality", US_national_yearly!$D:$AM, 10, FALSE), 1)</f>
        <v>9.2837133777403982E-5</v>
      </c>
      <c r="E3" s="7">
        <f>$B3 * IFERROR(VLOOKUP("buildings|PM25|Infant mortality", US_national_yearly!$D:$AM, 13, FALSE) / VLOOKUP("buildings|PM25|Infant mortality", US_national_yearly!$D:$AM, 10, FALSE), 1)</f>
        <v>9.2018838499083547E-5</v>
      </c>
      <c r="F3" s="7">
        <f>$B3 * IFERROR(VLOOKUP("buildings|PM25|Infant mortality", US_national_yearly!$D:$AM, 14, FALSE) / VLOOKUP("buildings|PM25|Infant mortality", US_national_yearly!$D:$AM, 10, FALSE), 1)</f>
        <v>9.1200543220763125E-5</v>
      </c>
      <c r="G3" s="7">
        <f>$B3 * IFERROR(VLOOKUP("buildings|PM25|Infant mortality", US_national_yearly!$D:$AM, 15, FALSE) / VLOOKUP("buildings|PM25|Infant mortality", US_national_yearly!$D:$AM, 10, FALSE), 1)</f>
        <v>6.0645052561319615E-5</v>
      </c>
      <c r="H3" s="7">
        <f>$B3 * IFERROR(VLOOKUP("buildings|PM25|Infant mortality", US_national_yearly!$D:$AM, 16, FALSE) / VLOOKUP("buildings|PM25|Infant mortality", US_national_yearly!$D:$AM, 10, FALSE), 1)</f>
        <v>3.0089561901876115E-5</v>
      </c>
      <c r="I3" s="7">
        <f>$B3 * IFERROR(VLOOKUP("buildings|PM25|Infant mortality", US_national_yearly!$D:$AM, 17, FALSE) / VLOOKUP("buildings|PM25|Infant mortality", US_national_yearly!$D:$AM, 10, FALSE), 1)</f>
        <v>2.9893486111269331E-5</v>
      </c>
      <c r="J3" s="7">
        <f>$B3 * IFERROR(VLOOKUP("buildings|PM25|Infant mortality", US_national_yearly!$D:$AM, 18, FALSE) / VLOOKUP("buildings|PM25|Infant mortality", US_national_yearly!$D:$AM, 10, FALSE), 1)</f>
        <v>2.9697410320662546E-5</v>
      </c>
      <c r="K3" s="7">
        <f>$B3 * IFERROR(VLOOKUP("buildings|PM25|Infant mortality", US_national_yearly!$D:$AM, 19, FALSE) / VLOOKUP("buildings|PM25|Infant mortality", US_national_yearly!$D:$AM, 10, FALSE), 1)</f>
        <v>2.9501334530055761E-5</v>
      </c>
      <c r="L3" s="7">
        <f>$B3 * IFERROR(VLOOKUP("buildings|PM25|Infant mortality", US_national_yearly!$D:$AM, 20, FALSE) / VLOOKUP("buildings|PM25|Infant mortality", US_national_yearly!$D:$AM, 10, FALSE), 1)</f>
        <v>2.9305258739448976E-5</v>
      </c>
      <c r="M3" s="7">
        <f>$B3 * IFERROR(VLOOKUP("buildings|PM25|Infant mortality", US_national_yearly!$D:$AM, 21, FALSE) / VLOOKUP("buildings|PM25|Infant mortality", US_national_yearly!$D:$AM, 10, FALSE), 1)</f>
        <v>2.9109182948842187E-5</v>
      </c>
      <c r="N3" s="7">
        <f>$B3 * IFERROR(VLOOKUP("buildings|PM25|Infant mortality", US_national_yearly!$D:$AM, 22, FALSE) / VLOOKUP("buildings|PM25|Infant mortality", US_national_yearly!$D:$AM, 10, FALSE), 1)</f>
        <v>2.8986499168143899E-5</v>
      </c>
      <c r="O3" s="7">
        <f>$B3 * IFERROR(VLOOKUP("buildings|PM25|Infant mortality", US_national_yearly!$D:$AM, 23, FALSE) / VLOOKUP("buildings|PM25|Infant mortality", US_national_yearly!$D:$AM, 10, FALSE), 1)</f>
        <v>2.8863815387445607E-5</v>
      </c>
      <c r="P3" s="7">
        <f>$B3 * IFERROR(VLOOKUP("buildings|PM25|Infant mortality", US_national_yearly!$D:$AM, 24, FALSE) / VLOOKUP("buildings|PM25|Infant mortality", US_national_yearly!$D:$AM, 10, FALSE), 1)</f>
        <v>2.8741131606747315E-5</v>
      </c>
      <c r="Q3" s="7">
        <f>$B3 * IFERROR(VLOOKUP("buildings|PM25|Infant mortality", US_national_yearly!$D:$AM, 25, FALSE) / VLOOKUP("buildings|PM25|Infant mortality", US_national_yearly!$D:$AM, 10, FALSE), 1)</f>
        <v>2.8618447826049023E-5</v>
      </c>
      <c r="R3" s="7">
        <f>$B3 * IFERROR(VLOOKUP("buildings|PM25|Infant mortality", US_national_yearly!$D:$AM, 26, FALSE) / VLOOKUP("buildings|PM25|Infant mortality", US_national_yearly!$D:$AM, 10, FALSE), 1)</f>
        <v>2.8495764045350734E-5</v>
      </c>
      <c r="S3" s="7">
        <f>$B3 * IFERROR(VLOOKUP("buildings|PM25|Infant mortality", US_national_yearly!$D:$AM, 27, FALSE) / VLOOKUP("buildings|PM25|Infant mortality", US_national_yearly!$D:$AM, 10, FALSE), 1)</f>
        <v>2.8342584909095405E-5</v>
      </c>
      <c r="T3" s="7">
        <f>$B3 * IFERROR(VLOOKUP("buildings|PM25|Infant mortality", US_national_yearly!$D:$AM, 28, FALSE) / VLOOKUP("buildings|PM25|Infant mortality", US_national_yearly!$D:$AM, 10, FALSE), 1)</f>
        <v>2.818940577284008E-5</v>
      </c>
      <c r="U3" s="7">
        <f>$B3 * IFERROR(VLOOKUP("buildings|PM25|Infant mortality", US_national_yearly!$D:$AM, 29, FALSE) / VLOOKUP("buildings|PM25|Infant mortality", US_national_yearly!$D:$AM, 10, FALSE), 1)</f>
        <v>2.8036226636584747E-5</v>
      </c>
      <c r="V3" s="7">
        <f>$B3 * IFERROR(VLOOKUP("buildings|PM25|Infant mortality", US_national_yearly!$D:$AM, 30, FALSE) / VLOOKUP("buildings|PM25|Infant mortality", US_national_yearly!$D:$AM, 10, FALSE), 1)</f>
        <v>2.7883047500329425E-5</v>
      </c>
      <c r="W3" s="7">
        <f>$B3 * IFERROR(VLOOKUP("buildings|PM25|Infant mortality", US_national_yearly!$D:$AM, 31, FALSE) / VLOOKUP("buildings|PM25|Infant mortality", US_national_yearly!$D:$AM, 10, FALSE), 1)</f>
        <v>2.7729868364074096E-5</v>
      </c>
      <c r="X3" s="7">
        <f>$B3 * IFERROR(VLOOKUP("buildings|PM25|Infant mortality", US_national_yearly!$D:$AM, 32, FALSE) / VLOOKUP("buildings|PM25|Infant mortality", US_national_yearly!$D:$AM, 10, FALSE), 1)</f>
        <v>2.756495130149429E-5</v>
      </c>
      <c r="Y3" s="7">
        <f>$B3 * IFERROR(VLOOKUP("buildings|PM25|Infant mortality", US_national_yearly!$D:$AM, 33, FALSE) / VLOOKUP("buildings|PM25|Infant mortality", US_national_yearly!$D:$AM, 10, FALSE), 1)</f>
        <v>2.7400034238914491E-5</v>
      </c>
      <c r="Z3" s="7">
        <f>$B3 * IFERROR(VLOOKUP("buildings|PM25|Infant mortality", US_national_yearly!$D:$AM, 34, FALSE) / VLOOKUP("buildings|PM25|Infant mortality", US_national_yearly!$D:$AM, 10, FALSE), 1)</f>
        <v>2.7235117176334688E-5</v>
      </c>
      <c r="AA3" s="7">
        <f>$B3 * IFERROR(VLOOKUP("buildings|PM25|Infant mortality", US_national_yearly!$D:$AM, 35, FALSE) / VLOOKUP("buildings|PM25|Infant mortality", US_national_yearly!$D:$AM, 10, FALSE), 1)</f>
        <v>2.7070200113754882E-5</v>
      </c>
      <c r="AB3" s="7">
        <f>$B3 * IFERROR(VLOOKUP("buildings|PM25|Infant mortality", US_national_yearly!$D:$AM, 36, FALSE) / VLOOKUP("buildings|PM25|Infant mortality", US_national_yearly!$D:$AM, 10, FALSE), 1)</f>
        <v>2.6905283051175083E-5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7.4581666983436823E-2</v>
      </c>
      <c r="C6" s="7">
        <f>$B6 * IFERROR(VLOOKUP("buildings|PM25|Asthma symptoms cough", US_national_yearly!$D:$AM, 11, FALSE) / VLOOKUP("buildings|PM25|Asthma symptoms cough", US_national_yearly!$D:$AM, 10, FALSE), 1)</f>
        <v>7.4581666983436823E-2</v>
      </c>
      <c r="D6" s="7">
        <f>$B6 * IFERROR(VLOOKUP("buildings|PM25|Asthma symptoms cough", US_national_yearly!$D:$AM, 12, FALSE) / VLOOKUP("buildings|PM25|Asthma symptoms cough", US_national_yearly!$D:$AM, 10, FALSE), 1)</f>
        <v>7.4581666983436823E-2</v>
      </c>
      <c r="E6" s="7">
        <f>$B6 * IFERROR(VLOOKUP("buildings|PM25|Asthma symptoms cough", US_national_yearly!$D:$AM, 13, FALSE) / VLOOKUP("buildings|PM25|Asthma symptoms cough", US_national_yearly!$D:$AM, 10, FALSE), 1)</f>
        <v>7.4581666983436823E-2</v>
      </c>
      <c r="F6" s="7">
        <f>$B6 * IFERROR(VLOOKUP("buildings|PM25|Asthma symptoms cough", US_national_yearly!$D:$AM, 14, FALSE) / VLOOKUP("buildings|PM25|Asthma symptoms cough", US_national_yearly!$D:$AM, 10, FALSE), 1)</f>
        <v>7.4581666983436823E-2</v>
      </c>
      <c r="G6" s="7">
        <f>$B6 * IFERROR(VLOOKUP("buildings|PM25|Asthma symptoms cough", US_national_yearly!$D:$AM, 15, FALSE) / VLOOKUP("buildings|PM25|Asthma symptoms cough", US_national_yearly!$D:$AM, 10, FALSE), 1)</f>
        <v>7.4581666983436823E-2</v>
      </c>
      <c r="H6" s="7">
        <f>$B6 * IFERROR(VLOOKUP("buildings|PM25|Asthma symptoms cough", US_national_yearly!$D:$AM, 16, FALSE) / VLOOKUP("buildings|PM25|Asthma symptoms cough", US_national_yearly!$D:$AM, 10, FALSE), 1)</f>
        <v>7.4581666983436823E-2</v>
      </c>
      <c r="I6" s="7">
        <f>$B6 * IFERROR(VLOOKUP("buildings|PM25|Asthma symptoms cough", US_national_yearly!$D:$AM, 17, FALSE) / VLOOKUP("buildings|PM25|Asthma symptoms cough", US_national_yearly!$D:$AM, 10, FALSE), 1)</f>
        <v>7.4581666983436823E-2</v>
      </c>
      <c r="J6" s="7">
        <f>$B6 * IFERROR(VLOOKUP("buildings|PM25|Asthma symptoms cough", US_national_yearly!$D:$AM, 18, FALSE) / VLOOKUP("buildings|PM25|Asthma symptoms cough", US_national_yearly!$D:$AM, 10, FALSE), 1)</f>
        <v>7.4581666983436823E-2</v>
      </c>
      <c r="K6" s="7">
        <f>$B6 * IFERROR(VLOOKUP("buildings|PM25|Asthma symptoms cough", US_national_yearly!$D:$AM, 19, FALSE) / VLOOKUP("buildings|PM25|Asthma symptoms cough", US_national_yearly!$D:$AM, 10, FALSE), 1)</f>
        <v>7.4581666983436823E-2</v>
      </c>
      <c r="L6" s="7">
        <f>$B6 * IFERROR(VLOOKUP("buildings|PM25|Asthma symptoms cough", US_national_yearly!$D:$AM, 20, FALSE) / VLOOKUP("buildings|PM25|Asthma symptoms cough", US_national_yearly!$D:$AM, 10, FALSE), 1)</f>
        <v>7.4581666983436823E-2</v>
      </c>
      <c r="M6" s="7">
        <f>$B6 * IFERROR(VLOOKUP("buildings|PM25|Asthma symptoms cough", US_national_yearly!$D:$AM, 21, FALSE) / VLOOKUP("buildings|PM25|Asthma symptoms cough", US_national_yearly!$D:$AM, 10, FALSE), 1)</f>
        <v>7.4581666983436823E-2</v>
      </c>
      <c r="N6" s="7">
        <f>$B6 * IFERROR(VLOOKUP("buildings|PM25|Asthma symptoms cough", US_national_yearly!$D:$AM, 22, FALSE) / VLOOKUP("buildings|PM25|Asthma symptoms cough", US_national_yearly!$D:$AM, 10, FALSE), 1)</f>
        <v>7.4581666983436823E-2</v>
      </c>
      <c r="O6" s="7">
        <f>$B6 * IFERROR(VLOOKUP("buildings|PM25|Asthma symptoms cough", US_national_yearly!$D:$AM, 23, FALSE) / VLOOKUP("buildings|PM25|Asthma symptoms cough", US_national_yearly!$D:$AM, 10, FALSE), 1)</f>
        <v>7.4581666983436823E-2</v>
      </c>
      <c r="P6" s="7">
        <f>$B6 * IFERROR(VLOOKUP("buildings|PM25|Asthma symptoms cough", US_national_yearly!$D:$AM, 24, FALSE) / VLOOKUP("buildings|PM25|Asthma symptoms cough", US_national_yearly!$D:$AM, 10, FALSE), 1)</f>
        <v>7.4581666983436823E-2</v>
      </c>
      <c r="Q6" s="7">
        <f>$B6 * IFERROR(VLOOKUP("buildings|PM25|Asthma symptoms cough", US_national_yearly!$D:$AM, 25, FALSE) / VLOOKUP("buildings|PM25|Asthma symptoms cough", US_national_yearly!$D:$AM, 10, FALSE), 1)</f>
        <v>7.4581666983436823E-2</v>
      </c>
      <c r="R6" s="7">
        <f>$B6 * IFERROR(VLOOKUP("buildings|PM25|Asthma symptoms cough", US_national_yearly!$D:$AM, 26, FALSE) / VLOOKUP("buildings|PM25|Asthma symptoms cough", US_national_yearly!$D:$AM, 10, FALSE), 1)</f>
        <v>7.4581666983436823E-2</v>
      </c>
      <c r="S6" s="7">
        <f>$B6 * IFERROR(VLOOKUP("buildings|PM25|Asthma symptoms cough", US_national_yearly!$D:$AM, 27, FALSE) / VLOOKUP("buildings|PM25|Asthma symptoms cough", US_national_yearly!$D:$AM, 10, FALSE), 1)</f>
        <v>7.4581666983436823E-2</v>
      </c>
      <c r="T6" s="7">
        <f>$B6 * IFERROR(VLOOKUP("buildings|PM25|Asthma symptoms cough", US_national_yearly!$D:$AM, 28, FALSE) / VLOOKUP("buildings|PM25|Asthma symptoms cough", US_national_yearly!$D:$AM, 10, FALSE), 1)</f>
        <v>7.4581666983436823E-2</v>
      </c>
      <c r="U6" s="7">
        <f>$B6 * IFERROR(VLOOKUP("buildings|PM25|Asthma symptoms cough", US_national_yearly!$D:$AM, 29, FALSE) / VLOOKUP("buildings|PM25|Asthma symptoms cough", US_national_yearly!$D:$AM, 10, FALSE), 1)</f>
        <v>7.4581666983436823E-2</v>
      </c>
      <c r="V6" s="7">
        <f>$B6 * IFERROR(VLOOKUP("buildings|PM25|Asthma symptoms cough", US_national_yearly!$D:$AM, 30, FALSE) / VLOOKUP("buildings|PM25|Asthma symptoms cough", US_national_yearly!$D:$AM, 10, FALSE), 1)</f>
        <v>7.4581666983436823E-2</v>
      </c>
      <c r="W6" s="7">
        <f>$B6 * IFERROR(VLOOKUP("buildings|PM25|Asthma symptoms cough", US_national_yearly!$D:$AM, 31, FALSE) / VLOOKUP("buildings|PM25|Asthma symptoms cough", US_national_yearly!$D:$AM, 10, FALSE), 1)</f>
        <v>7.4581666983436823E-2</v>
      </c>
      <c r="X6" s="7">
        <f>$B6 * IFERROR(VLOOKUP("buildings|PM25|Asthma symptoms cough", US_national_yearly!$D:$AM, 32, FALSE) / VLOOKUP("buildings|PM25|Asthma symptoms cough", US_national_yearly!$D:$AM, 10, FALSE), 1)</f>
        <v>7.4581666983436823E-2</v>
      </c>
      <c r="Y6" s="7">
        <f>$B6 * IFERROR(VLOOKUP("buildings|PM25|Asthma symptoms cough", US_national_yearly!$D:$AM, 33, FALSE) / VLOOKUP("buildings|PM25|Asthma symptoms cough", US_national_yearly!$D:$AM, 10, FALSE), 1)</f>
        <v>7.4581666983436823E-2</v>
      </c>
      <c r="Z6" s="7">
        <f>$B6 * IFERROR(VLOOKUP("buildings|PM25|Asthma symptoms cough", US_national_yearly!$D:$AM, 34, FALSE) / VLOOKUP("buildings|PM25|Asthma symptoms cough", US_national_yearly!$D:$AM, 10, FALSE), 1)</f>
        <v>7.4581666983436823E-2</v>
      </c>
      <c r="AA6" s="7">
        <f>$B6 * IFERROR(VLOOKUP("buildings|PM25|Asthma symptoms cough", US_national_yearly!$D:$AM, 35, FALSE) / VLOOKUP("buildings|PM25|Asthma symptoms cough", US_national_yearly!$D:$AM, 10, FALSE), 1)</f>
        <v>7.4581666983436823E-2</v>
      </c>
      <c r="AB6" s="7">
        <f>$B6 * IFERROR(VLOOKUP("buildings|PM25|Asthma symptoms cough", US_national_yearly!$D:$AM, 36, FALSE) / VLOOKUP("buildings|PM25|Asthma symptoms cough", US_national_yearly!$D:$AM, 10, FALSE), 1)</f>
        <v>7.4581666983436823E-2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0.10043472459264548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0.10043472459264548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0.10043472459264548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0.10043472459264548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0.10043472459264548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0.10043472459264548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0.10043472459264548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0.10043472459264548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0.10043472459264548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0.10043472459264548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0.10043472459264548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0.10043472459264548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0.10043472459264548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0.10043472459264548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0.10043472459264548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0.10043472459264548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0.10043472459264548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0.10043472459264548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0.10043472459264548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0.10043472459264548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0.10043472459264548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0.10043472459264548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0.10043472459264548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0.10043472459264548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0.10043472459264548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0.10043472459264548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0.10043472459264548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0.15344835133530318</v>
      </c>
      <c r="C8" s="7">
        <f>$B8 * IFERROR(VLOOKUP("buildings|PM25|Asthma symptoms wheeze", US_national_yearly!$D:$AM, 11, FALSE) / VLOOKUP("buildings|PM25|Asthma symptoms wheeze", US_national_yearly!$D:$AM, 10, FALSE), 1)</f>
        <v>0.15344835133530318</v>
      </c>
      <c r="D8" s="7">
        <f>$B8 * IFERROR(VLOOKUP("buildings|PM25|Asthma symptoms wheeze", US_national_yearly!$D:$AM, 12, FALSE) / VLOOKUP("buildings|PM25|Asthma symptoms wheeze", US_national_yearly!$D:$AM, 10, FALSE), 1)</f>
        <v>0.15344835133530318</v>
      </c>
      <c r="E8" s="7">
        <f>$B8 * IFERROR(VLOOKUP("buildings|PM25|Asthma symptoms wheeze", US_national_yearly!$D:$AM, 13, FALSE) / VLOOKUP("buildings|PM25|Asthma symptoms wheeze", US_national_yearly!$D:$AM, 10, FALSE), 1)</f>
        <v>0.15344835133530318</v>
      </c>
      <c r="F8" s="7">
        <f>$B8 * IFERROR(VLOOKUP("buildings|PM25|Asthma symptoms wheeze", US_national_yearly!$D:$AM, 14, FALSE) / VLOOKUP("buildings|PM25|Asthma symptoms wheeze", US_national_yearly!$D:$AM, 10, FALSE), 1)</f>
        <v>0.15344835133530318</v>
      </c>
      <c r="G8" s="7">
        <f>$B8 * IFERROR(VLOOKUP("buildings|PM25|Asthma symptoms wheeze", US_national_yearly!$D:$AM, 15, FALSE) / VLOOKUP("buildings|PM25|Asthma symptoms wheeze", US_national_yearly!$D:$AM, 10, FALSE), 1)</f>
        <v>0.15344835133530318</v>
      </c>
      <c r="H8" s="7">
        <f>$B8 * IFERROR(VLOOKUP("buildings|PM25|Asthma symptoms wheeze", US_national_yearly!$D:$AM, 16, FALSE) / VLOOKUP("buildings|PM25|Asthma symptoms wheeze", US_national_yearly!$D:$AM, 10, FALSE), 1)</f>
        <v>0.15344835133530318</v>
      </c>
      <c r="I8" s="7">
        <f>$B8 * IFERROR(VLOOKUP("buildings|PM25|Asthma symptoms wheeze", US_national_yearly!$D:$AM, 17, FALSE) / VLOOKUP("buildings|PM25|Asthma symptoms wheeze", US_national_yearly!$D:$AM, 10, FALSE), 1)</f>
        <v>0.15344835133530318</v>
      </c>
      <c r="J8" s="7">
        <f>$B8 * IFERROR(VLOOKUP("buildings|PM25|Asthma symptoms wheeze", US_national_yearly!$D:$AM, 18, FALSE) / VLOOKUP("buildings|PM25|Asthma symptoms wheeze", US_national_yearly!$D:$AM, 10, FALSE), 1)</f>
        <v>0.15344835133530318</v>
      </c>
      <c r="K8" s="7">
        <f>$B8 * IFERROR(VLOOKUP("buildings|PM25|Asthma symptoms wheeze", US_national_yearly!$D:$AM, 19, FALSE) / VLOOKUP("buildings|PM25|Asthma symptoms wheeze", US_national_yearly!$D:$AM, 10, FALSE), 1)</f>
        <v>0.15344835133530318</v>
      </c>
      <c r="L8" s="7">
        <f>$B8 * IFERROR(VLOOKUP("buildings|PM25|Asthma symptoms wheeze", US_national_yearly!$D:$AM, 20, FALSE) / VLOOKUP("buildings|PM25|Asthma symptoms wheeze", US_national_yearly!$D:$AM, 10, FALSE), 1)</f>
        <v>0.15344835133530318</v>
      </c>
      <c r="M8" s="7">
        <f>$B8 * IFERROR(VLOOKUP("buildings|PM25|Asthma symptoms wheeze", US_national_yearly!$D:$AM, 21, FALSE) / VLOOKUP("buildings|PM25|Asthma symptoms wheeze", US_national_yearly!$D:$AM, 10, FALSE), 1)</f>
        <v>0.15344835133530318</v>
      </c>
      <c r="N8" s="7">
        <f>$B8 * IFERROR(VLOOKUP("buildings|PM25|Asthma symptoms wheeze", US_national_yearly!$D:$AM, 22, FALSE) / VLOOKUP("buildings|PM25|Asthma symptoms wheeze", US_national_yearly!$D:$AM, 10, FALSE), 1)</f>
        <v>0.15344835133530318</v>
      </c>
      <c r="O8" s="7">
        <f>$B8 * IFERROR(VLOOKUP("buildings|PM25|Asthma symptoms wheeze", US_national_yearly!$D:$AM, 23, FALSE) / VLOOKUP("buildings|PM25|Asthma symptoms wheeze", US_national_yearly!$D:$AM, 10, FALSE), 1)</f>
        <v>0.15344835133530318</v>
      </c>
      <c r="P8" s="7">
        <f>$B8 * IFERROR(VLOOKUP("buildings|PM25|Asthma symptoms wheeze", US_national_yearly!$D:$AM, 24, FALSE) / VLOOKUP("buildings|PM25|Asthma symptoms wheeze", US_national_yearly!$D:$AM, 10, FALSE), 1)</f>
        <v>0.15344835133530318</v>
      </c>
      <c r="Q8" s="7">
        <f>$B8 * IFERROR(VLOOKUP("buildings|PM25|Asthma symptoms wheeze", US_national_yearly!$D:$AM, 25, FALSE) / VLOOKUP("buildings|PM25|Asthma symptoms wheeze", US_national_yearly!$D:$AM, 10, FALSE), 1)</f>
        <v>0.15344835133530318</v>
      </c>
      <c r="R8" s="7">
        <f>$B8 * IFERROR(VLOOKUP("buildings|PM25|Asthma symptoms wheeze", US_national_yearly!$D:$AM, 26, FALSE) / VLOOKUP("buildings|PM25|Asthma symptoms wheeze", US_national_yearly!$D:$AM, 10, FALSE), 1)</f>
        <v>0.15344835133530318</v>
      </c>
      <c r="S8" s="7">
        <f>$B8 * IFERROR(VLOOKUP("buildings|PM25|Asthma symptoms wheeze", US_national_yearly!$D:$AM, 27, FALSE) / VLOOKUP("buildings|PM25|Asthma symptoms wheeze", US_national_yearly!$D:$AM, 10, FALSE), 1)</f>
        <v>0.15344835133530318</v>
      </c>
      <c r="T8" s="7">
        <f>$B8 * IFERROR(VLOOKUP("buildings|PM25|Asthma symptoms wheeze", US_national_yearly!$D:$AM, 28, FALSE) / VLOOKUP("buildings|PM25|Asthma symptoms wheeze", US_national_yearly!$D:$AM, 10, FALSE), 1)</f>
        <v>0.15344835133530318</v>
      </c>
      <c r="U8" s="7">
        <f>$B8 * IFERROR(VLOOKUP("buildings|PM25|Asthma symptoms wheeze", US_national_yearly!$D:$AM, 29, FALSE) / VLOOKUP("buildings|PM25|Asthma symptoms wheeze", US_national_yearly!$D:$AM, 10, FALSE), 1)</f>
        <v>0.15344835133530318</v>
      </c>
      <c r="V8" s="7">
        <f>$B8 * IFERROR(VLOOKUP("buildings|PM25|Asthma symptoms wheeze", US_national_yearly!$D:$AM, 30, FALSE) / VLOOKUP("buildings|PM25|Asthma symptoms wheeze", US_national_yearly!$D:$AM, 10, FALSE), 1)</f>
        <v>0.15344835133530318</v>
      </c>
      <c r="W8" s="7">
        <f>$B8 * IFERROR(VLOOKUP("buildings|PM25|Asthma symptoms wheeze", US_national_yearly!$D:$AM, 31, FALSE) / VLOOKUP("buildings|PM25|Asthma symptoms wheeze", US_national_yearly!$D:$AM, 10, FALSE), 1)</f>
        <v>0.15344835133530318</v>
      </c>
      <c r="X8" s="7">
        <f>$B8 * IFERROR(VLOOKUP("buildings|PM25|Asthma symptoms wheeze", US_national_yearly!$D:$AM, 32, FALSE) / VLOOKUP("buildings|PM25|Asthma symptoms wheeze", US_national_yearly!$D:$AM, 10, FALSE), 1)</f>
        <v>0.15344835133530318</v>
      </c>
      <c r="Y8" s="7">
        <f>$B8 * IFERROR(VLOOKUP("buildings|PM25|Asthma symptoms wheeze", US_national_yearly!$D:$AM, 33, FALSE) / VLOOKUP("buildings|PM25|Asthma symptoms wheeze", US_national_yearly!$D:$AM, 10, FALSE), 1)</f>
        <v>0.15344835133530318</v>
      </c>
      <c r="Z8" s="7">
        <f>$B8 * IFERROR(VLOOKUP("buildings|PM25|Asthma symptoms wheeze", US_national_yearly!$D:$AM, 34, FALSE) / VLOOKUP("buildings|PM25|Asthma symptoms wheeze", US_national_yearly!$D:$AM, 10, FALSE), 1)</f>
        <v>0.15344835133530318</v>
      </c>
      <c r="AA8" s="7">
        <f>$B8 * IFERROR(VLOOKUP("buildings|PM25|Asthma symptoms wheeze", US_national_yearly!$D:$AM, 35, FALSE) / VLOOKUP("buildings|PM25|Asthma symptoms wheeze", US_national_yearly!$D:$AM, 10, FALSE), 1)</f>
        <v>0.15344835133530318</v>
      </c>
      <c r="AB8" s="7">
        <f>$B8 * IFERROR(VLOOKUP("buildings|PM25|Asthma symptoms wheeze", US_national_yearly!$D:$AM, 36, FALSE) / VLOOKUP("buildings|PM25|Asthma symptoms wheeze", US_national_yearly!$D:$AM, 10, FALSE), 1)</f>
        <v>0.15344835133530318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5.7572258070799458E-3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5.7904114138703552E-3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5.8235970206607663E-3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5.8567826274511774E-3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5.8899682342415886E-3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5.9257785785595124E-3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5.9615889228774371E-3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5.995647798591533E-3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6.0297066743056288E-3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6.0637655500197238E-3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6.0978244257338197E-3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6.1318833014479155E-3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6.1563808594703676E-3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6.1808784174928206E-3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6.2053759755152727E-3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6.2298735335377248E-3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6.2543710915601769E-3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6.2777117012067975E-3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6.3010523108534208E-3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6.3243929205000415E-3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6.347733530146663E-3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6.3710741397932863E-3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6.3936174688060581E-3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6.4161607978188316E-3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6.4387041268316033E-3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6.4612474558443768E-3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6.4837907848571486E-3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3.6940284938954029E-2</v>
      </c>
      <c r="C13" s="7">
        <f>$B13 * IFERROR(VLOOKUP("buildings|PM25|Non-fatal heart attacks", US_national_yearly!$D:$AM, 11, FALSE) / VLOOKUP("buildings|PM25|Non-fatal heart attacks", US_national_yearly!$D:$AM, 10, FALSE), 1)</f>
        <v>3.8014745397942418E-2</v>
      </c>
      <c r="D13" s="7">
        <f>$B13 * IFERROR(VLOOKUP("buildings|PM25|Non-fatal heart attacks", US_national_yearly!$D:$AM, 12, FALSE) / VLOOKUP("buildings|PM25|Non-fatal heart attacks", US_national_yearly!$D:$AM, 10, FALSE), 1)</f>
        <v>3.9089205856930792E-2</v>
      </c>
      <c r="E13" s="7">
        <f>$B13 * IFERROR(VLOOKUP("buildings|PM25|Non-fatal heart attacks", US_national_yearly!$D:$AM, 13, FALSE) / VLOOKUP("buildings|PM25|Non-fatal heart attacks", US_national_yearly!$D:$AM, 10, FALSE), 1)</f>
        <v>4.0163666315919173E-2</v>
      </c>
      <c r="F13" s="7">
        <f>$B13 * IFERROR(VLOOKUP("buildings|PM25|Non-fatal heart attacks", US_national_yearly!$D:$AM, 14, FALSE) / VLOOKUP("buildings|PM25|Non-fatal heart attacks", US_national_yearly!$D:$AM, 10, FALSE), 1)</f>
        <v>4.1238126774907555E-2</v>
      </c>
      <c r="G13" s="7">
        <f>$B13 * IFERROR(VLOOKUP("buildings|PM25|Non-fatal heart attacks", US_national_yearly!$D:$AM, 15, FALSE) / VLOOKUP("buildings|PM25|Non-fatal heart attacks", US_national_yearly!$D:$AM, 10, FALSE), 1)</f>
        <v>4.2251941585952739E-2</v>
      </c>
      <c r="H13" s="7">
        <f>$B13 * IFERROR(VLOOKUP("buildings|PM25|Non-fatal heart attacks", US_national_yearly!$D:$AM, 16, FALSE) / VLOOKUP("buildings|PM25|Non-fatal heart attacks", US_national_yearly!$D:$AM, 10, FALSE), 1)</f>
        <v>4.3265756396997902E-2</v>
      </c>
      <c r="I13" s="7">
        <f>$B13 * IFERROR(VLOOKUP("buildings|PM25|Non-fatal heart attacks", US_national_yearly!$D:$AM, 17, FALSE) / VLOOKUP("buildings|PM25|Non-fatal heart attacks", US_national_yearly!$D:$AM, 10, FALSE), 1)</f>
        <v>4.4081449154305695E-2</v>
      </c>
      <c r="J13" s="7">
        <f>$B13 * IFERROR(VLOOKUP("buildings|PM25|Non-fatal heart attacks", US_national_yearly!$D:$AM, 18, FALSE) / VLOOKUP("buildings|PM25|Non-fatal heart attacks", US_national_yearly!$D:$AM, 10, FALSE), 1)</f>
        <v>4.4897141911613488E-2</v>
      </c>
      <c r="K13" s="7">
        <f>$B13 * IFERROR(VLOOKUP("buildings|PM25|Non-fatal heart attacks", US_national_yearly!$D:$AM, 19, FALSE) / VLOOKUP("buildings|PM25|Non-fatal heart attacks", US_national_yearly!$D:$AM, 10, FALSE), 1)</f>
        <v>4.5712834668921273E-2</v>
      </c>
      <c r="L13" s="7">
        <f>$B13 * IFERROR(VLOOKUP("buildings|PM25|Non-fatal heart attacks", US_national_yearly!$D:$AM, 20, FALSE) / VLOOKUP("buildings|PM25|Non-fatal heart attacks", US_national_yearly!$D:$AM, 10, FALSE), 1)</f>
        <v>4.6528527426229059E-2</v>
      </c>
      <c r="M13" s="7">
        <f>$B13 * IFERROR(VLOOKUP("buildings|PM25|Non-fatal heart attacks", US_national_yearly!$D:$AM, 21, FALSE) / VLOOKUP("buildings|PM25|Non-fatal heart attacks", US_national_yearly!$D:$AM, 10, FALSE), 1)</f>
        <v>4.7344220183536845E-2</v>
      </c>
      <c r="N13" s="7">
        <f>$B13 * IFERROR(VLOOKUP("buildings|PM25|Non-fatal heart attacks", US_national_yearly!$D:$AM, 22, FALSE) / VLOOKUP("buildings|PM25|Non-fatal heart attacks", US_national_yearly!$D:$AM, 10, FALSE), 1)</f>
        <v>4.7871170448553123E-2</v>
      </c>
      <c r="O13" s="7">
        <f>$B13 * IFERROR(VLOOKUP("buildings|PM25|Non-fatal heart attacks", US_national_yearly!$D:$AM, 23, FALSE) / VLOOKUP("buildings|PM25|Non-fatal heart attacks", US_national_yearly!$D:$AM, 10, FALSE), 1)</f>
        <v>4.8398120713569401E-2</v>
      </c>
      <c r="P13" s="7">
        <f>$B13 * IFERROR(VLOOKUP("buildings|PM25|Non-fatal heart attacks", US_national_yearly!$D:$AM, 24, FALSE) / VLOOKUP("buildings|PM25|Non-fatal heart attacks", US_national_yearly!$D:$AM, 10, FALSE), 1)</f>
        <v>4.8925070978585672E-2</v>
      </c>
      <c r="Q13" s="7">
        <f>$B13 * IFERROR(VLOOKUP("buildings|PM25|Non-fatal heart attacks", US_national_yearly!$D:$AM, 25, FALSE) / VLOOKUP("buildings|PM25|Non-fatal heart attacks", US_national_yearly!$D:$AM, 10, FALSE), 1)</f>
        <v>4.945202124360195E-2</v>
      </c>
      <c r="R13" s="7">
        <f>$B13 * IFERROR(VLOOKUP("buildings|PM25|Non-fatal heart attacks", US_national_yearly!$D:$AM, 26, FALSE) / VLOOKUP("buildings|PM25|Non-fatal heart attacks", US_national_yearly!$D:$AM, 10, FALSE), 1)</f>
        <v>4.9978971508618228E-2</v>
      </c>
      <c r="S13" s="7">
        <f>$B13 * IFERROR(VLOOKUP("buildings|PM25|Non-fatal heart attacks", US_national_yearly!$D:$AM, 27, FALSE) / VLOOKUP("buildings|PM25|Non-fatal heart attacks", US_national_yearly!$D:$AM, 10, FALSE), 1)</f>
        <v>5.025768053188627E-2</v>
      </c>
      <c r="T13" s="7">
        <f>$B13 * IFERROR(VLOOKUP("buildings|PM25|Non-fatal heart attacks", US_national_yearly!$D:$AM, 28, FALSE) / VLOOKUP("buildings|PM25|Non-fatal heart attacks", US_national_yearly!$D:$AM, 10, FALSE), 1)</f>
        <v>5.0536389555154319E-2</v>
      </c>
      <c r="U13" s="7">
        <f>$B13 * IFERROR(VLOOKUP("buildings|PM25|Non-fatal heart attacks", US_national_yearly!$D:$AM, 29, FALSE) / VLOOKUP("buildings|PM25|Non-fatal heart attacks", US_national_yearly!$D:$AM, 10, FALSE), 1)</f>
        <v>5.0815098578422369E-2</v>
      </c>
      <c r="V13" s="7">
        <f>$B13 * IFERROR(VLOOKUP("buildings|PM25|Non-fatal heart attacks", US_national_yearly!$D:$AM, 30, FALSE) / VLOOKUP("buildings|PM25|Non-fatal heart attacks", US_national_yearly!$D:$AM, 10, FALSE), 1)</f>
        <v>5.1093807601690418E-2</v>
      </c>
      <c r="W13" s="7">
        <f>$B13 * IFERROR(VLOOKUP("buildings|PM25|Non-fatal heart attacks", US_national_yearly!$D:$AM, 31, FALSE) / VLOOKUP("buildings|PM25|Non-fatal heart attacks", US_national_yearly!$D:$AM, 10, FALSE), 1)</f>
        <v>5.1372516624958467E-2</v>
      </c>
      <c r="X13" s="7">
        <f>$B13 * IFERROR(VLOOKUP("buildings|PM25|Non-fatal heart attacks", US_national_yearly!$D:$AM, 32, FALSE) / VLOOKUP("buildings|PM25|Non-fatal heart attacks", US_national_yearly!$D:$AM, 10, FALSE), 1)</f>
        <v>5.1584634548105045E-2</v>
      </c>
      <c r="Y13" s="7">
        <f>$B13 * IFERROR(VLOOKUP("buildings|PM25|Non-fatal heart attacks", US_national_yearly!$D:$AM, 33, FALSE) / VLOOKUP("buildings|PM25|Non-fatal heart attacks", US_national_yearly!$D:$AM, 10, FALSE), 1)</f>
        <v>5.1796752471251629E-2</v>
      </c>
      <c r="Z13" s="7">
        <f>$B13 * IFERROR(VLOOKUP("buildings|PM25|Non-fatal heart attacks", US_national_yearly!$D:$AM, 34, FALSE) / VLOOKUP("buildings|PM25|Non-fatal heart attacks", US_national_yearly!$D:$AM, 10, FALSE), 1)</f>
        <v>5.20088703943982E-2</v>
      </c>
      <c r="AA13" s="7">
        <f>$B13 * IFERROR(VLOOKUP("buildings|PM25|Non-fatal heart attacks", US_national_yearly!$D:$AM, 35, FALSE) / VLOOKUP("buildings|PM25|Non-fatal heart attacks", US_national_yearly!$D:$AM, 10, FALSE), 1)</f>
        <v>5.2220988317544778E-2</v>
      </c>
      <c r="AB13" s="7">
        <f>$B13 * IFERROR(VLOOKUP("buildings|PM25|Non-fatal heart attacks", US_national_yearly!$D:$AM, 36, FALSE) / VLOOKUP("buildings|PM25|Non-fatal heart attacks", US_national_yearly!$D:$AM, 10, FALSE), 1)</f>
        <v>5.243310624069137E-2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9.4838803272447443</v>
      </c>
      <c r="C14" s="7">
        <f>$B14 * IFERROR(VLOOKUP("buildings|PM25|Minor restricted activity days", US_national_yearly!$D:$AM, 11, FALSE) / VLOOKUP("buildings|PM25|Minor restricted activity days", US_national_yearly!$D:$AM, 10, FALSE), 1)</f>
        <v>9.5074672693082292</v>
      </c>
      <c r="D14" s="7">
        <f>$B14 * IFERROR(VLOOKUP("buildings|PM25|Minor restricted activity days", US_national_yearly!$D:$AM, 12, FALSE) / VLOOKUP("buildings|PM25|Minor restricted activity days", US_national_yearly!$D:$AM, 10, FALSE), 1)</f>
        <v>9.531054211371714</v>
      </c>
      <c r="E14" s="7">
        <f>$B14 * IFERROR(VLOOKUP("buildings|PM25|Minor restricted activity days", US_national_yearly!$D:$AM, 13, FALSE) / VLOOKUP("buildings|PM25|Minor restricted activity days", US_national_yearly!$D:$AM, 10, FALSE), 1)</f>
        <v>9.5546411534351989</v>
      </c>
      <c r="F14" s="7">
        <f>$B14 * IFERROR(VLOOKUP("buildings|PM25|Minor restricted activity days", US_national_yearly!$D:$AM, 14, FALSE) / VLOOKUP("buildings|PM25|Minor restricted activity days", US_national_yearly!$D:$AM, 10, FALSE), 1)</f>
        <v>9.5782280954986803</v>
      </c>
      <c r="G14" s="7">
        <f>$B14 * IFERROR(VLOOKUP("buildings|PM25|Minor restricted activity days", US_national_yearly!$D:$AM, 15, FALSE) / VLOOKUP("buildings|PM25|Minor restricted activity days", US_national_yearly!$D:$AM, 10, FALSE), 1)</f>
        <v>9.6128229779981051</v>
      </c>
      <c r="H14" s="7">
        <f>$B14 * IFERROR(VLOOKUP("buildings|PM25|Minor restricted activity days", US_national_yearly!$D:$AM, 16, FALSE) / VLOOKUP("buildings|PM25|Minor restricted activity days", US_national_yearly!$D:$AM, 10, FALSE), 1)</f>
        <v>9.6474178604975265</v>
      </c>
      <c r="I14" s="7">
        <f>$B14 * IFERROR(VLOOKUP("buildings|PM25|Minor restricted activity days", US_national_yearly!$D:$AM, 17, FALSE) / VLOOKUP("buildings|PM25|Minor restricted activity days", US_national_yearly!$D:$AM, 10, FALSE), 1)</f>
        <v>9.7062446904296884</v>
      </c>
      <c r="J14" s="7">
        <f>$B14 * IFERROR(VLOOKUP("buildings|PM25|Minor restricted activity days", US_national_yearly!$D:$AM, 18, FALSE) / VLOOKUP("buildings|PM25|Minor restricted activity days", US_national_yearly!$D:$AM, 10, FALSE), 1)</f>
        <v>9.7650715203618557</v>
      </c>
      <c r="K14" s="7">
        <f>$B14 * IFERROR(VLOOKUP("buildings|PM25|Minor restricted activity days", US_national_yearly!$D:$AM, 19, FALSE) / VLOOKUP("buildings|PM25|Minor restricted activity days", US_national_yearly!$D:$AM, 10, FALSE), 1)</f>
        <v>9.8238983502940158</v>
      </c>
      <c r="L14" s="7">
        <f>$B14 * IFERROR(VLOOKUP("buildings|PM25|Minor restricted activity days", US_national_yearly!$D:$AM, 20, FALSE) / VLOOKUP("buildings|PM25|Minor restricted activity days", US_national_yearly!$D:$AM, 10, FALSE), 1)</f>
        <v>9.882725180226176</v>
      </c>
      <c r="M14" s="7">
        <f>$B14 * IFERROR(VLOOKUP("buildings|PM25|Minor restricted activity days", US_national_yearly!$D:$AM, 21, FALSE) / VLOOKUP("buildings|PM25|Minor restricted activity days", US_national_yearly!$D:$AM, 10, FALSE), 1)</f>
        <v>9.9415520101583361</v>
      </c>
      <c r="N14" s="7">
        <f>$B14 * IFERROR(VLOOKUP("buildings|PM25|Minor restricted activity days", US_national_yearly!$D:$AM, 22, FALSE) / VLOOKUP("buildings|PM25|Minor restricted activity days", US_national_yearly!$D:$AM, 10, FALSE), 1)</f>
        <v>10.021483479257785</v>
      </c>
      <c r="O14" s="7">
        <f>$B14 * IFERROR(VLOOKUP("buildings|PM25|Minor restricted activity days", US_national_yearly!$D:$AM, 23, FALSE) / VLOOKUP("buildings|PM25|Minor restricted activity days", US_national_yearly!$D:$AM, 10, FALSE), 1)</f>
        <v>10.101414948357233</v>
      </c>
      <c r="P14" s="7">
        <f>$B14 * IFERROR(VLOOKUP("buildings|PM25|Minor restricted activity days", US_national_yearly!$D:$AM, 24, FALSE) / VLOOKUP("buildings|PM25|Minor restricted activity days", US_national_yearly!$D:$AM, 10, FALSE), 1)</f>
        <v>10.18134641745668</v>
      </c>
      <c r="Q14" s="7">
        <f>$B14 * IFERROR(VLOOKUP("buildings|PM25|Minor restricted activity days", US_national_yearly!$D:$AM, 25, FALSE) / VLOOKUP("buildings|PM25|Minor restricted activity days", US_national_yearly!$D:$AM, 10, FALSE), 1)</f>
        <v>10.261277886556128</v>
      </c>
      <c r="R14" s="7">
        <f>$B14 * IFERROR(VLOOKUP("buildings|PM25|Minor restricted activity days", US_national_yearly!$D:$AM, 26, FALSE) / VLOOKUP("buildings|PM25|Minor restricted activity days", US_national_yearly!$D:$AM, 10, FALSE), 1)</f>
        <v>10.341209355655575</v>
      </c>
      <c r="S14" s="7">
        <f>$B14 * IFERROR(VLOOKUP("buildings|PM25|Minor restricted activity days", US_national_yearly!$D:$AM, 27, FALSE) / VLOOKUP("buildings|PM25|Minor restricted activity days", US_national_yearly!$D:$AM, 10, FALSE), 1)</f>
        <v>10.421636164392941</v>
      </c>
      <c r="T14" s="7">
        <f>$B14 * IFERROR(VLOOKUP("buildings|PM25|Minor restricted activity days", US_national_yearly!$D:$AM, 28, FALSE) / VLOOKUP("buildings|PM25|Minor restricted activity days", US_national_yearly!$D:$AM, 10, FALSE), 1)</f>
        <v>10.502062973130306</v>
      </c>
      <c r="U14" s="7">
        <f>$B14 * IFERROR(VLOOKUP("buildings|PM25|Minor restricted activity days", US_national_yearly!$D:$AM, 29, FALSE) / VLOOKUP("buildings|PM25|Minor restricted activity days", US_national_yearly!$D:$AM, 10, FALSE), 1)</f>
        <v>10.582489781867672</v>
      </c>
      <c r="V14" s="7">
        <f>$B14 * IFERROR(VLOOKUP("buildings|PM25|Minor restricted activity days", US_national_yearly!$D:$AM, 30, FALSE) / VLOOKUP("buildings|PM25|Minor restricted activity days", US_national_yearly!$D:$AM, 10, FALSE), 1)</f>
        <v>10.662916590605034</v>
      </c>
      <c r="W14" s="7">
        <f>$B14 * IFERROR(VLOOKUP("buildings|PM25|Minor restricted activity days", US_national_yearly!$D:$AM, 31, FALSE) / VLOOKUP("buildings|PM25|Minor restricted activity days", US_national_yearly!$D:$AM, 10, FALSE), 1)</f>
        <v>10.7433433993424</v>
      </c>
      <c r="X14" s="7">
        <f>$B14 * IFERROR(VLOOKUP("buildings|PM25|Minor restricted activity days", US_national_yearly!$D:$AM, 32, FALSE) / VLOOKUP("buildings|PM25|Minor restricted activity days", US_national_yearly!$D:$AM, 10, FALSE), 1)</f>
        <v>10.813178446983807</v>
      </c>
      <c r="Y14" s="7">
        <f>$B14 * IFERROR(VLOOKUP("buildings|PM25|Minor restricted activity days", US_national_yearly!$D:$AM, 33, FALSE) / VLOOKUP("buildings|PM25|Minor restricted activity days", US_national_yearly!$D:$AM, 10, FALSE), 1)</f>
        <v>10.883013494625212</v>
      </c>
      <c r="Z14" s="7">
        <f>$B14 * IFERROR(VLOOKUP("buildings|PM25|Minor restricted activity days", US_national_yearly!$D:$AM, 34, FALSE) / VLOOKUP("buildings|PM25|Minor restricted activity days", US_national_yearly!$D:$AM, 10, FALSE), 1)</f>
        <v>10.952848542266613</v>
      </c>
      <c r="AA14" s="7">
        <f>$B14 * IFERROR(VLOOKUP("buildings|PM25|Minor restricted activity days", US_national_yearly!$D:$AM, 35, FALSE) / VLOOKUP("buildings|PM25|Minor restricted activity days", US_national_yearly!$D:$AM, 10, FALSE), 1)</f>
        <v>11.022683589908018</v>
      </c>
      <c r="AB14" s="7">
        <f>$B14 * IFERROR(VLOOKUP("buildings|PM25|Minor restricted activity days", US_national_yearly!$D:$AM, 36, FALSE) / VLOOKUP("buildings|PM25|Minor restricted activity days", US_national_yearly!$D:$AM, 10, FALSE), 1)</f>
        <v>11.092518637549423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1.6205597678248953</v>
      </c>
      <c r="C15" s="7">
        <f>$B15 * IFERROR(VLOOKUP("buildings|PM25|Work loss days", US_national_yearly!$D:$AM, 11, FALSE) / VLOOKUP("buildings|PM25|Work loss days", US_national_yearly!$D:$AM, 10, FALSE), 1)</f>
        <v>1.6256454338664417</v>
      </c>
      <c r="D15" s="7">
        <f>$B15 * IFERROR(VLOOKUP("buildings|PM25|Work loss days", US_national_yearly!$D:$AM, 12, FALSE) / VLOOKUP("buildings|PM25|Work loss days", US_national_yearly!$D:$AM, 10, FALSE), 1)</f>
        <v>1.6307310999079878</v>
      </c>
      <c r="E15" s="7">
        <f>$B15 * IFERROR(VLOOKUP("buildings|PM25|Work loss days", US_national_yearly!$D:$AM, 13, FALSE) / VLOOKUP("buildings|PM25|Work loss days", US_national_yearly!$D:$AM, 10, FALSE), 1)</f>
        <v>1.635816765949534</v>
      </c>
      <c r="F15" s="7">
        <f>$B15 * IFERROR(VLOOKUP("buildings|PM25|Work loss days", US_national_yearly!$D:$AM, 14, FALSE) / VLOOKUP("buildings|PM25|Work loss days", US_national_yearly!$D:$AM, 10, FALSE), 1)</f>
        <v>1.6409024319910801</v>
      </c>
      <c r="G15" s="7">
        <f>$B15 * IFERROR(VLOOKUP("buildings|PM25|Work loss days", US_national_yearly!$D:$AM, 15, FALSE) / VLOOKUP("buildings|PM25|Work loss days", US_national_yearly!$D:$AM, 10, FALSE), 1)</f>
        <v>1.6475498532549575</v>
      </c>
      <c r="H15" s="7">
        <f>$B15 * IFERROR(VLOOKUP("buildings|PM25|Work loss days", US_national_yearly!$D:$AM, 16, FALSE) / VLOOKUP("buildings|PM25|Work loss days", US_national_yearly!$D:$AM, 10, FALSE), 1)</f>
        <v>1.6541972745188347</v>
      </c>
      <c r="I15" s="7">
        <f>$B15 * IFERROR(VLOOKUP("buildings|PM25|Work loss days", US_national_yearly!$D:$AM, 17, FALSE) / VLOOKUP("buildings|PM25|Work loss days", US_national_yearly!$D:$AM, 10, FALSE), 1)</f>
        <v>1.6639601181458028</v>
      </c>
      <c r="J15" s="7">
        <f>$B15 * IFERROR(VLOOKUP("buildings|PM25|Work loss days", US_national_yearly!$D:$AM, 18, FALSE) / VLOOKUP("buildings|PM25|Work loss days", US_national_yearly!$D:$AM, 10, FALSE), 1)</f>
        <v>1.6737229617727707</v>
      </c>
      <c r="K15" s="7">
        <f>$B15 * IFERROR(VLOOKUP("buildings|PM25|Work loss days", US_national_yearly!$D:$AM, 19, FALSE) / VLOOKUP("buildings|PM25|Work loss days", US_national_yearly!$D:$AM, 10, FALSE), 1)</f>
        <v>1.6834858053997388</v>
      </c>
      <c r="L15" s="7">
        <f>$B15 * IFERROR(VLOOKUP("buildings|PM25|Work loss days", US_national_yearly!$D:$AM, 20, FALSE) / VLOOKUP("buildings|PM25|Work loss days", US_national_yearly!$D:$AM, 10, FALSE), 1)</f>
        <v>1.6932486490267069</v>
      </c>
      <c r="M15" s="7">
        <f>$B15 * IFERROR(VLOOKUP("buildings|PM25|Work loss days", US_national_yearly!$D:$AM, 21, FALSE) / VLOOKUP("buildings|PM25|Work loss days", US_national_yearly!$D:$AM, 10, FALSE), 1)</f>
        <v>1.7030114926536752</v>
      </c>
      <c r="N15" s="7">
        <f>$B15 * IFERROR(VLOOKUP("buildings|PM25|Work loss days", US_national_yearly!$D:$AM, 22, FALSE) / VLOOKUP("buildings|PM25|Work loss days", US_national_yearly!$D:$AM, 10, FALSE), 1)</f>
        <v>1.7152859784290879</v>
      </c>
      <c r="O15" s="7">
        <f>$B15 * IFERROR(VLOOKUP("buildings|PM25|Work loss days", US_national_yearly!$D:$AM, 23, FALSE) / VLOOKUP("buildings|PM25|Work loss days", US_national_yearly!$D:$AM, 10, FALSE), 1)</f>
        <v>1.727560464204501</v>
      </c>
      <c r="P15" s="7">
        <f>$B15 * IFERROR(VLOOKUP("buildings|PM25|Work loss days", US_national_yearly!$D:$AM, 24, FALSE) / VLOOKUP("buildings|PM25|Work loss days", US_national_yearly!$D:$AM, 10, FALSE), 1)</f>
        <v>1.7398349499799139</v>
      </c>
      <c r="Q15" s="7">
        <f>$B15 * IFERROR(VLOOKUP("buildings|PM25|Work loss days", US_national_yearly!$D:$AM, 25, FALSE) / VLOOKUP("buildings|PM25|Work loss days", US_national_yearly!$D:$AM, 10, FALSE), 1)</f>
        <v>1.7521094357553266</v>
      </c>
      <c r="R15" s="7">
        <f>$B15 * IFERROR(VLOOKUP("buildings|PM25|Work loss days", US_national_yearly!$D:$AM, 26, FALSE) / VLOOKUP("buildings|PM25|Work loss days", US_national_yearly!$D:$AM, 10, FALSE), 1)</f>
        <v>1.7643839215307398</v>
      </c>
      <c r="S15" s="7">
        <f>$B15 * IFERROR(VLOOKUP("buildings|PM25|Work loss days", US_national_yearly!$D:$AM, 27, FALSE) / VLOOKUP("buildings|PM25|Work loss days", US_national_yearly!$D:$AM, 10, FALSE), 1)</f>
        <v>1.7779426165846339</v>
      </c>
      <c r="T15" s="7">
        <f>$B15 * IFERROR(VLOOKUP("buildings|PM25|Work loss days", US_national_yearly!$D:$AM, 28, FALSE) / VLOOKUP("buildings|PM25|Work loss days", US_national_yearly!$D:$AM, 10, FALSE), 1)</f>
        <v>1.7915013116385283</v>
      </c>
      <c r="U15" s="7">
        <f>$B15 * IFERROR(VLOOKUP("buildings|PM25|Work loss days", US_national_yearly!$D:$AM, 29, FALSE) / VLOOKUP("buildings|PM25|Work loss days", US_national_yearly!$D:$AM, 10, FALSE), 1)</f>
        <v>1.8050600066924227</v>
      </c>
      <c r="V15" s="7">
        <f>$B15 * IFERROR(VLOOKUP("buildings|PM25|Work loss days", US_national_yearly!$D:$AM, 30, FALSE) / VLOOKUP("buildings|PM25|Work loss days", US_national_yearly!$D:$AM, 10, FALSE), 1)</f>
        <v>1.8186187017463169</v>
      </c>
      <c r="W15" s="7">
        <f>$B15 * IFERROR(VLOOKUP("buildings|PM25|Work loss days", US_national_yearly!$D:$AM, 31, FALSE) / VLOOKUP("buildings|PM25|Work loss days", US_national_yearly!$D:$AM, 10, FALSE), 1)</f>
        <v>1.8321773968002113</v>
      </c>
      <c r="X15" s="7">
        <f>$B15 * IFERROR(VLOOKUP("buildings|PM25|Work loss days", US_national_yearly!$D:$AM, 32, FALSE) / VLOOKUP("buildings|PM25|Work loss days", US_national_yearly!$D:$AM, 10, FALSE), 1)</f>
        <v>1.8442094463893093</v>
      </c>
      <c r="Y15" s="7">
        <f>$B15 * IFERROR(VLOOKUP("buildings|PM25|Work loss days", US_national_yearly!$D:$AM, 33, FALSE) / VLOOKUP("buildings|PM25|Work loss days", US_national_yearly!$D:$AM, 10, FALSE), 1)</f>
        <v>1.8562414959784077</v>
      </c>
      <c r="Z15" s="7">
        <f>$B15 * IFERROR(VLOOKUP("buildings|PM25|Work loss days", US_national_yearly!$D:$AM, 34, FALSE) / VLOOKUP("buildings|PM25|Work loss days", US_national_yearly!$D:$AM, 10, FALSE), 1)</f>
        <v>1.8682735455675057</v>
      </c>
      <c r="AA15" s="7">
        <f>$B15 * IFERROR(VLOOKUP("buildings|PM25|Work loss days", US_national_yearly!$D:$AM, 35, FALSE) / VLOOKUP("buildings|PM25|Work loss days", US_national_yearly!$D:$AM, 10, FALSE), 1)</f>
        <v>1.8803055951566041</v>
      </c>
      <c r="AB15" s="7">
        <f>$B15 * IFERROR(VLOOKUP("buildings|PM25|Work loss days", US_national_yearly!$D:$AM, 36, FALSE) / VLOOKUP("buildings|PM25|Work loss days", US_national_yearly!$D:$AM, 10, FALSE), 1)</f>
        <v>1.8923376447457021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9.1582661393905408E-3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9.4319732564438746E-3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9.7056803734972084E-3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9.9793874905505404E-3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1.0253094607603873E-2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1.0515347457132965E-2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1.0777600306662059E-2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1.1002112875247596E-2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1.1226625443833134E-2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1.1451138012418673E-2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1.1675650581004213E-2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1.1900163149589752E-2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1.2050081596762767E-2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1.2200000043935781E-2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1.2349918491108794E-2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1.2499836938281808E-2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1.2649755385454821E-2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1.2729417017037866E-2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1.2809078648620905E-2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1.288874028020395E-2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1.2968401911786991E-2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1.3048063543370035E-2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1.3101927273001641E-2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1.3155791002633246E-2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1.3209654732264852E-2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1.3263518461896457E-2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1.3317382191528063E-2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9.6009643999012215E-4</v>
      </c>
      <c r="C2" s="7">
        <f>$B2 * IFERROR(VLOOKUP("buildings|NOx|Premature mortality", US_national_yearly!$D:$AM, 11, FALSE) / VLOOKUP("buildings|NOx|Premature mortality", US_national_yearly!$D:$AM, 10, FALSE), 1)</f>
        <v>9.7421819507567404E-4</v>
      </c>
      <c r="D2" s="7">
        <f>$B2 * IFERROR(VLOOKUP("buildings|NOx|Premature mortality", US_national_yearly!$D:$AM, 12, FALSE) / VLOOKUP("buildings|NOx|Premature mortality", US_national_yearly!$D:$AM, 10, FALSE), 1)</f>
        <v>9.8833995016122571E-4</v>
      </c>
      <c r="E2" s="7">
        <f>$B2 * IFERROR(VLOOKUP("buildings|NOx|Premature mortality", US_national_yearly!$D:$AM, 13, FALSE) / VLOOKUP("buildings|NOx|Premature mortality", US_national_yearly!$D:$AM, 10, FALSE), 1)</f>
        <v>1.0024617052467775E-3</v>
      </c>
      <c r="F2" s="7">
        <f>$B2 * IFERROR(VLOOKUP("buildings|NOx|Premature mortality", US_national_yearly!$D:$AM, 14, FALSE) / VLOOKUP("buildings|NOx|Premature mortality", US_national_yearly!$D:$AM, 10, FALSE), 1)</f>
        <v>1.0165834603323291E-3</v>
      </c>
      <c r="G2" s="7">
        <f>$B2 * IFERROR(VLOOKUP("buildings|NOx|Premature mortality", US_national_yearly!$D:$AM, 15, FALSE) / VLOOKUP("buildings|NOx|Premature mortality", US_national_yearly!$D:$AM, 10, FALSE), 1)</f>
        <v>1.0419371280157436E-3</v>
      </c>
      <c r="H2" s="7">
        <f>$B2 * IFERROR(VLOOKUP("buildings|NOx|Premature mortality", US_national_yearly!$D:$AM, 16, FALSE) / VLOOKUP("buildings|NOx|Premature mortality", US_national_yearly!$D:$AM, 10, FALSE), 1)</f>
        <v>1.0672907956991583E-3</v>
      </c>
      <c r="I2" s="7">
        <f>$B2 * IFERROR(VLOOKUP("buildings|NOx|Premature mortality", US_national_yearly!$D:$AM, 17, FALSE) / VLOOKUP("buildings|NOx|Premature mortality", US_national_yearly!$D:$AM, 10, FALSE), 1)</f>
        <v>1.0836757015040266E-3</v>
      </c>
      <c r="J2" s="7">
        <f>$B2 * IFERROR(VLOOKUP("buildings|NOx|Premature mortality", US_national_yearly!$D:$AM, 18, FALSE) / VLOOKUP("buildings|NOx|Premature mortality", US_national_yearly!$D:$AM, 10, FALSE), 1)</f>
        <v>1.1000606073088949E-3</v>
      </c>
      <c r="K2" s="7">
        <f>$B2 * IFERROR(VLOOKUP("buildings|NOx|Premature mortality", US_national_yearly!$D:$AM, 19, FALSE) / VLOOKUP("buildings|NOx|Premature mortality", US_national_yearly!$D:$AM, 10, FALSE), 1)</f>
        <v>1.1164455131137633E-3</v>
      </c>
      <c r="L2" s="7">
        <f>$B2 * IFERROR(VLOOKUP("buildings|NOx|Premature mortality", US_national_yearly!$D:$AM, 20, FALSE) / VLOOKUP("buildings|NOx|Premature mortality", US_national_yearly!$D:$AM, 10, FALSE), 1)</f>
        <v>1.1328304189186316E-3</v>
      </c>
      <c r="M2" s="7">
        <f>$B2 * IFERROR(VLOOKUP("buildings|NOx|Premature mortality", US_national_yearly!$D:$AM, 21, FALSE) / VLOOKUP("buildings|NOx|Premature mortality", US_national_yearly!$D:$AM, 10, FALSE), 1)</f>
        <v>1.1492153247234999E-3</v>
      </c>
      <c r="N2" s="7">
        <f>$B2 * IFERROR(VLOOKUP("buildings|NOx|Premature mortality", US_national_yearly!$D:$AM, 22, FALSE) / VLOOKUP("buildings|NOx|Premature mortality", US_national_yearly!$D:$AM, 10, FALSE), 1)</f>
        <v>1.161355914462404E-3</v>
      </c>
      <c r="O2" s="7">
        <f>$B2 * IFERROR(VLOOKUP("buildings|NOx|Premature mortality", US_national_yearly!$D:$AM, 23, FALSE) / VLOOKUP("buildings|NOx|Premature mortality", US_national_yearly!$D:$AM, 10, FALSE), 1)</f>
        <v>1.1734965042013083E-3</v>
      </c>
      <c r="P2" s="7">
        <f>$B2 * IFERROR(VLOOKUP("buildings|NOx|Premature mortality", US_national_yearly!$D:$AM, 24, FALSE) / VLOOKUP("buildings|NOx|Premature mortality", US_national_yearly!$D:$AM, 10, FALSE), 1)</f>
        <v>1.1856370939402126E-3</v>
      </c>
      <c r="Q2" s="7">
        <f>$B2 * IFERROR(VLOOKUP("buildings|NOx|Premature mortality", US_national_yearly!$D:$AM, 25, FALSE) / VLOOKUP("buildings|NOx|Premature mortality", US_national_yearly!$D:$AM, 10, FALSE), 1)</f>
        <v>1.1977776836791169E-3</v>
      </c>
      <c r="R2" s="7">
        <f>$B2 * IFERROR(VLOOKUP("buildings|NOx|Premature mortality", US_national_yearly!$D:$AM, 26, FALSE) / VLOOKUP("buildings|NOx|Premature mortality", US_national_yearly!$D:$AM, 10, FALSE), 1)</f>
        <v>1.2099182734180212E-3</v>
      </c>
      <c r="S2" s="7">
        <f>$B2 * IFERROR(VLOOKUP("buildings|NOx|Premature mortality", US_national_yearly!$D:$AM, 27, FALSE) / VLOOKUP("buildings|NOx|Premature mortality", US_national_yearly!$D:$AM, 10, FALSE), 1)</f>
        <v>1.215437864164395E-3</v>
      </c>
      <c r="T2" s="7">
        <f>$B2 * IFERROR(VLOOKUP("buildings|NOx|Premature mortality", US_national_yearly!$D:$AM, 28, FALSE) / VLOOKUP("buildings|NOx|Premature mortality", US_national_yearly!$D:$AM, 10, FALSE), 1)</f>
        <v>1.2209574549107685E-3</v>
      </c>
      <c r="U2" s="7">
        <f>$B2 * IFERROR(VLOOKUP("buildings|NOx|Premature mortality", US_national_yearly!$D:$AM, 29, FALSE) / VLOOKUP("buildings|NOx|Premature mortality", US_national_yearly!$D:$AM, 10, FALSE), 1)</f>
        <v>1.2264770456571423E-3</v>
      </c>
      <c r="V2" s="7">
        <f>$B2 * IFERROR(VLOOKUP("buildings|NOx|Premature mortality", US_national_yearly!$D:$AM, 30, FALSE) / VLOOKUP("buildings|NOx|Premature mortality", US_national_yearly!$D:$AM, 10, FALSE), 1)</f>
        <v>1.2319966364035162E-3</v>
      </c>
      <c r="W2" s="7">
        <f>$B2 * IFERROR(VLOOKUP("buildings|NOx|Premature mortality", US_national_yearly!$D:$AM, 31, FALSE) / VLOOKUP("buildings|NOx|Premature mortality", US_national_yearly!$D:$AM, 10, FALSE), 1)</f>
        <v>1.2375162271498897E-3</v>
      </c>
      <c r="X2" s="7">
        <f>$B2 * IFERROR(VLOOKUP("buildings|NOx|Premature mortality", US_national_yearly!$D:$AM, 32, FALSE) / VLOOKUP("buildings|NOx|Premature mortality", US_national_yearly!$D:$AM, 10, FALSE), 1)</f>
        <v>1.23771062263658E-3</v>
      </c>
      <c r="Y2" s="7">
        <f>$B2 * IFERROR(VLOOKUP("buildings|NOx|Premature mortality", US_national_yearly!$D:$AM, 33, FALSE) / VLOOKUP("buildings|NOx|Premature mortality", US_national_yearly!$D:$AM, 10, FALSE), 1)</f>
        <v>1.2379050181232703E-3</v>
      </c>
      <c r="Z2" s="7">
        <f>$B2 * IFERROR(VLOOKUP("buildings|NOx|Premature mortality", US_national_yearly!$D:$AM, 34, FALSE) / VLOOKUP("buildings|NOx|Premature mortality", US_national_yearly!$D:$AM, 10, FALSE), 1)</f>
        <v>1.2380994136099604E-3</v>
      </c>
      <c r="AA2" s="7">
        <f>$B2 * IFERROR(VLOOKUP("buildings|NOx|Premature mortality", US_national_yearly!$D:$AM, 35, FALSE) / VLOOKUP("buildings|NOx|Premature mortality", US_national_yearly!$D:$AM, 10, FALSE), 1)</f>
        <v>1.2382938090966505E-3</v>
      </c>
      <c r="AB2" s="7">
        <f>$B2 * IFERROR(VLOOKUP("buildings|NOx|Premature mortality", US_national_yearly!$D:$AM, 36, FALSE) / VLOOKUP("buildings|NOx|Premature mortality", US_national_yearly!$D:$AM, 10, FALSE), 1)</f>
        <v>1.238488204583341E-3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2.9514286563670007E-6</v>
      </c>
      <c r="C3" s="7">
        <f>$B3 * IFERROR(VLOOKUP("buildings|NOx|Infant mortality", US_national_yearly!$D:$AM, 11, FALSE) / VLOOKUP("buildings|NOx|Infant mortality", US_national_yearly!$D:$AM, 10, FALSE), 1)</f>
        <v>2.9233935480360973E-6</v>
      </c>
      <c r="D3" s="7">
        <f>$B3 * IFERROR(VLOOKUP("buildings|NOx|Infant mortality", US_national_yearly!$D:$AM, 12, FALSE) / VLOOKUP("buildings|NOx|Infant mortality", US_national_yearly!$D:$AM, 10, FALSE), 1)</f>
        <v>2.8953584397051934E-6</v>
      </c>
      <c r="E3" s="7">
        <f>$B3 * IFERROR(VLOOKUP("buildings|NOx|Infant mortality", US_national_yearly!$D:$AM, 13, FALSE) / VLOOKUP("buildings|NOx|Infant mortality", US_national_yearly!$D:$AM, 10, FALSE), 1)</f>
        <v>2.86732333137429E-6</v>
      </c>
      <c r="F3" s="7">
        <f>$B3 * IFERROR(VLOOKUP("buildings|NOx|Infant mortality", US_national_yearly!$D:$AM, 14, FALSE) / VLOOKUP("buildings|NOx|Infant mortality", US_national_yearly!$D:$AM, 10, FALSE), 1)</f>
        <v>2.8392882230433861E-6</v>
      </c>
      <c r="G3" s="7">
        <f>$B3 * IFERROR(VLOOKUP("buildings|NOx|Infant mortality", US_national_yearly!$D:$AM, 15, FALSE) / VLOOKUP("buildings|NOx|Infant mortality", US_national_yearly!$D:$AM, 10, FALSE), 1)</f>
        <v>1.884541916712934E-6</v>
      </c>
      <c r="H3" s="7">
        <f>$B3 * IFERROR(VLOOKUP("buildings|NOx|Infant mortality", US_national_yearly!$D:$AM, 16, FALSE) / VLOOKUP("buildings|NOx|Infant mortality", US_national_yearly!$D:$AM, 10, FALSE), 1)</f>
        <v>9.29795610382482E-7</v>
      </c>
      <c r="I3" s="7">
        <f>$B3 * IFERROR(VLOOKUP("buildings|NOx|Infant mortality", US_national_yearly!$D:$AM, 17, FALSE) / VLOOKUP("buildings|NOx|Infant mortality", US_national_yearly!$D:$AM, 10, FALSE), 1)</f>
        <v>9.2322701501471144E-7</v>
      </c>
      <c r="J3" s="7">
        <f>$B3 * IFERROR(VLOOKUP("buildings|NOx|Infant mortality", US_national_yearly!$D:$AM, 18, FALSE) / VLOOKUP("buildings|NOx|Infant mortality", US_national_yearly!$D:$AM, 10, FALSE), 1)</f>
        <v>9.1665841964694078E-7</v>
      </c>
      <c r="K3" s="7">
        <f>$B3 * IFERROR(VLOOKUP("buildings|NOx|Infant mortality", US_national_yearly!$D:$AM, 19, FALSE) / VLOOKUP("buildings|NOx|Infant mortality", US_national_yearly!$D:$AM, 10, FALSE), 1)</f>
        <v>9.1008982427917022E-7</v>
      </c>
      <c r="L3" s="7">
        <f>$B3 * IFERROR(VLOOKUP("buildings|NOx|Infant mortality", US_national_yearly!$D:$AM, 20, FALSE) / VLOOKUP("buildings|NOx|Infant mortality", US_national_yearly!$D:$AM, 10, FALSE), 1)</f>
        <v>9.0352122891139976E-7</v>
      </c>
      <c r="M3" s="7">
        <f>$B3 * IFERROR(VLOOKUP("buildings|NOx|Infant mortality", US_national_yearly!$D:$AM, 21, FALSE) / VLOOKUP("buildings|NOx|Infant mortality", US_national_yearly!$D:$AM, 10, FALSE), 1)</f>
        <v>8.9695263354362899E-7</v>
      </c>
      <c r="N3" s="7">
        <f>$B3 * IFERROR(VLOOKUP("buildings|NOx|Infant mortality", US_national_yearly!$D:$AM, 22, FALSE) / VLOOKUP("buildings|NOx|Infant mortality", US_national_yearly!$D:$AM, 10, FALSE), 1)</f>
        <v>8.9259999316858159E-7</v>
      </c>
      <c r="O3" s="7">
        <f>$B3 * IFERROR(VLOOKUP("buildings|NOx|Infant mortality", US_national_yearly!$D:$AM, 23, FALSE) / VLOOKUP("buildings|NOx|Infant mortality", US_national_yearly!$D:$AM, 10, FALSE), 1)</f>
        <v>8.882473527935343E-7</v>
      </c>
      <c r="P3" s="7">
        <f>$B3 * IFERROR(VLOOKUP("buildings|NOx|Infant mortality", US_national_yearly!$D:$AM, 24, FALSE) / VLOOKUP("buildings|NOx|Infant mortality", US_national_yearly!$D:$AM, 10, FALSE), 1)</f>
        <v>8.838947124184869E-7</v>
      </c>
      <c r="Q3" s="7">
        <f>$B3 * IFERROR(VLOOKUP("buildings|NOx|Infant mortality", US_national_yearly!$D:$AM, 25, FALSE) / VLOOKUP("buildings|NOx|Infant mortality", US_national_yearly!$D:$AM, 10, FALSE), 1)</f>
        <v>8.7954207204343971E-7</v>
      </c>
      <c r="R3" s="7">
        <f>$B3 * IFERROR(VLOOKUP("buildings|NOx|Infant mortality", US_national_yearly!$D:$AM, 26, FALSE) / VLOOKUP("buildings|NOx|Infant mortality", US_national_yearly!$D:$AM, 10, FALSE), 1)</f>
        <v>8.7518943166839231E-7</v>
      </c>
      <c r="S3" s="7">
        <f>$B3 * IFERROR(VLOOKUP("buildings|NOx|Infant mortality", US_national_yearly!$D:$AM, 27, FALSE) / VLOOKUP("buildings|NOx|Infant mortality", US_national_yearly!$D:$AM, 10, FALSE), 1)</f>
        <v>8.6995348329090294E-7</v>
      </c>
      <c r="T3" s="7">
        <f>$B3 * IFERROR(VLOOKUP("buildings|NOx|Infant mortality", US_national_yearly!$D:$AM, 28, FALSE) / VLOOKUP("buildings|NOx|Infant mortality", US_national_yearly!$D:$AM, 10, FALSE), 1)</f>
        <v>8.6471753491341379E-7</v>
      </c>
      <c r="U3" s="7">
        <f>$B3 * IFERROR(VLOOKUP("buildings|NOx|Infant mortality", US_national_yearly!$D:$AM, 29, FALSE) / VLOOKUP("buildings|NOx|Infant mortality", US_national_yearly!$D:$AM, 10, FALSE), 1)</f>
        <v>8.5948158653592442E-7</v>
      </c>
      <c r="V3" s="7">
        <f>$B3 * IFERROR(VLOOKUP("buildings|NOx|Infant mortality", US_national_yearly!$D:$AM, 30, FALSE) / VLOOKUP("buildings|NOx|Infant mortality", US_national_yearly!$D:$AM, 10, FALSE), 1)</f>
        <v>8.5424563815843505E-7</v>
      </c>
      <c r="W3" s="7">
        <f>$B3 * IFERROR(VLOOKUP("buildings|NOx|Infant mortality", US_national_yearly!$D:$AM, 31, FALSE) / VLOOKUP("buildings|NOx|Infant mortality", US_national_yearly!$D:$AM, 10, FALSE), 1)</f>
        <v>8.4900968978094589E-7</v>
      </c>
      <c r="X3" s="7">
        <f>$B3 * IFERROR(VLOOKUP("buildings|NOx|Infant mortality", US_national_yearly!$D:$AM, 32, FALSE) / VLOOKUP("buildings|NOx|Infant mortality", US_national_yearly!$D:$AM, 10, FALSE), 1)</f>
        <v>8.434695974974257E-7</v>
      </c>
      <c r="Y3" s="7">
        <f>$B3 * IFERROR(VLOOKUP("buildings|NOx|Infant mortality", US_national_yearly!$D:$AM, 33, FALSE) / VLOOKUP("buildings|NOx|Infant mortality", US_national_yearly!$D:$AM, 10, FALSE), 1)</f>
        <v>8.3792950521390572E-7</v>
      </c>
      <c r="Z3" s="7">
        <f>$B3 * IFERROR(VLOOKUP("buildings|NOx|Infant mortality", US_national_yearly!$D:$AM, 34, FALSE) / VLOOKUP("buildings|NOx|Infant mortality", US_national_yearly!$D:$AM, 10, FALSE), 1)</f>
        <v>8.3238941293038564E-7</v>
      </c>
      <c r="AA3" s="7">
        <f>$B3 * IFERROR(VLOOKUP("buildings|NOx|Infant mortality", US_national_yearly!$D:$AM, 35, FALSE) / VLOOKUP("buildings|NOx|Infant mortality", US_national_yearly!$D:$AM, 10, FALSE), 1)</f>
        <v>8.2684932064686545E-7</v>
      </c>
      <c r="AB3" s="7">
        <f>$B3 * IFERROR(VLOOKUP("buildings|NOx|Infant mortality", US_national_yearly!$D:$AM, 36, FALSE) / VLOOKUP("buildings|NOx|Infant mortality", US_national_yearly!$D:$AM, 10, FALSE), 1)</f>
        <v>8.2130922836334526E-7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2.4327540799528721E-3</v>
      </c>
      <c r="C6" s="7">
        <f>$B6 * IFERROR(VLOOKUP("buildings|NOx|Asthma symptoms cough", US_national_yearly!$D:$AM, 11, FALSE) / VLOOKUP("buildings|NOx|Asthma symptoms cough", US_national_yearly!$D:$AM, 10, FALSE), 1)</f>
        <v>2.4660469821742577E-3</v>
      </c>
      <c r="D6" s="7">
        <f>$B6 * IFERROR(VLOOKUP("buildings|NOx|Asthma symptoms cough", US_national_yearly!$D:$AM, 12, FALSE) / VLOOKUP("buildings|NOx|Asthma symptoms cough", US_national_yearly!$D:$AM, 10, FALSE), 1)</f>
        <v>2.4993398843956441E-3</v>
      </c>
      <c r="E6" s="7">
        <f>$B6 * IFERROR(VLOOKUP("buildings|NOx|Asthma symptoms cough", US_national_yearly!$D:$AM, 13, FALSE) / VLOOKUP("buildings|NOx|Asthma symptoms cough", US_national_yearly!$D:$AM, 10, FALSE), 1)</f>
        <v>2.5326327866170301E-3</v>
      </c>
      <c r="F6" s="7">
        <f>$B6 * IFERROR(VLOOKUP("buildings|NOx|Asthma symptoms cough", US_national_yearly!$D:$AM, 14, FALSE) / VLOOKUP("buildings|NOx|Asthma symptoms cough", US_national_yearly!$D:$AM, 10, FALSE), 1)</f>
        <v>2.5659256888384157E-3</v>
      </c>
      <c r="G6" s="7">
        <f>$B6 * IFERROR(VLOOKUP("buildings|NOx|Asthma symptoms cough", US_national_yearly!$D:$AM, 15, FALSE) / VLOOKUP("buildings|NOx|Asthma symptoms cough", US_national_yearly!$D:$AM, 10, FALSE), 1)</f>
        <v>2.5925329561244941E-3</v>
      </c>
      <c r="H6" s="7">
        <f>$B6 * IFERROR(VLOOKUP("buildings|NOx|Asthma symptoms cough", US_national_yearly!$D:$AM, 16, FALSE) / VLOOKUP("buildings|NOx|Asthma symptoms cough", US_national_yearly!$D:$AM, 10, FALSE), 1)</f>
        <v>2.619140223410572E-3</v>
      </c>
      <c r="I6" s="7">
        <f>$B6 * IFERROR(VLOOKUP("buildings|NOx|Asthma symptoms cough", US_national_yearly!$D:$AM, 17, FALSE) / VLOOKUP("buildings|NOx|Asthma symptoms cough", US_national_yearly!$D:$AM, 10, FALSE), 1)</f>
        <v>2.6283482127764644E-3</v>
      </c>
      <c r="J6" s="7">
        <f>$B6 * IFERROR(VLOOKUP("buildings|NOx|Asthma symptoms cough", US_national_yearly!$D:$AM, 18, FALSE) / VLOOKUP("buildings|NOx|Asthma symptoms cough", US_national_yearly!$D:$AM, 10, FALSE), 1)</f>
        <v>2.6375562021423568E-3</v>
      </c>
      <c r="K6" s="7">
        <f>$B6 * IFERROR(VLOOKUP("buildings|NOx|Asthma symptoms cough", US_national_yearly!$D:$AM, 19, FALSE) / VLOOKUP("buildings|NOx|Asthma symptoms cough", US_national_yearly!$D:$AM, 10, FALSE), 1)</f>
        <v>2.6467641915082487E-3</v>
      </c>
      <c r="L6" s="7">
        <f>$B6 * IFERROR(VLOOKUP("buildings|NOx|Asthma symptoms cough", US_national_yearly!$D:$AM, 20, FALSE) / VLOOKUP("buildings|NOx|Asthma symptoms cough", US_national_yearly!$D:$AM, 10, FALSE), 1)</f>
        <v>2.6559721808741411E-3</v>
      </c>
      <c r="M6" s="7">
        <f>$B6 * IFERROR(VLOOKUP("buildings|NOx|Asthma symptoms cough", US_national_yearly!$D:$AM, 21, FALSE) / VLOOKUP("buildings|NOx|Asthma symptoms cough", US_national_yearly!$D:$AM, 10, FALSE), 1)</f>
        <v>2.6651801702400331E-3</v>
      </c>
      <c r="N6" s="7">
        <f>$B6 * IFERROR(VLOOKUP("buildings|NOx|Asthma symptoms cough", US_national_yearly!$D:$AM, 22, FALSE) / VLOOKUP("buildings|NOx|Asthma symptoms cough", US_national_yearly!$D:$AM, 10, FALSE), 1)</f>
        <v>2.6758274816810635E-3</v>
      </c>
      <c r="O6" s="7">
        <f>$B6 * IFERROR(VLOOKUP("buildings|NOx|Asthma symptoms cough", US_national_yearly!$D:$AM, 23, FALSE) / VLOOKUP("buildings|NOx|Asthma symptoms cough", US_national_yearly!$D:$AM, 10, FALSE), 1)</f>
        <v>2.6864747931220939E-3</v>
      </c>
      <c r="P6" s="7">
        <f>$B6 * IFERROR(VLOOKUP("buildings|NOx|Asthma symptoms cough", US_national_yearly!$D:$AM, 24, FALSE) / VLOOKUP("buildings|NOx|Asthma symptoms cough", US_national_yearly!$D:$AM, 10, FALSE), 1)</f>
        <v>2.6971221045631239E-3</v>
      </c>
      <c r="Q6" s="7">
        <f>$B6 * IFERROR(VLOOKUP("buildings|NOx|Asthma symptoms cough", US_national_yearly!$D:$AM, 25, FALSE) / VLOOKUP("buildings|NOx|Asthma symptoms cough", US_national_yearly!$D:$AM, 10, FALSE), 1)</f>
        <v>2.7077694160041548E-3</v>
      </c>
      <c r="R6" s="7">
        <f>$B6 * IFERROR(VLOOKUP("buildings|NOx|Asthma symptoms cough", US_national_yearly!$D:$AM, 26, FALSE) / VLOOKUP("buildings|NOx|Asthma symptoms cough", US_national_yearly!$D:$AM, 10, FALSE), 1)</f>
        <v>2.7184167274451848E-3</v>
      </c>
      <c r="S6" s="7">
        <f>$B6 * IFERROR(VLOOKUP("buildings|NOx|Asthma symptoms cough", US_national_yearly!$D:$AM, 27, FALSE) / VLOOKUP("buildings|NOx|Asthma symptoms cough", US_national_yearly!$D:$AM, 10, FALSE), 1)</f>
        <v>2.7323223418328399E-3</v>
      </c>
      <c r="T6" s="7">
        <f>$B6 * IFERROR(VLOOKUP("buildings|NOx|Asthma symptoms cough", US_national_yearly!$D:$AM, 28, FALSE) / VLOOKUP("buildings|NOx|Asthma symptoms cough", US_national_yearly!$D:$AM, 10, FALSE), 1)</f>
        <v>2.7462279562204947E-3</v>
      </c>
      <c r="U6" s="7">
        <f>$B6 * IFERROR(VLOOKUP("buildings|NOx|Asthma symptoms cough", US_national_yearly!$D:$AM, 29, FALSE) / VLOOKUP("buildings|NOx|Asthma symptoms cough", US_national_yearly!$D:$AM, 10, FALSE), 1)</f>
        <v>2.760133570608149E-3</v>
      </c>
      <c r="V6" s="7">
        <f>$B6 * IFERROR(VLOOKUP("buildings|NOx|Asthma symptoms cough", US_national_yearly!$D:$AM, 30, FALSE) / VLOOKUP("buildings|NOx|Asthma symptoms cough", US_national_yearly!$D:$AM, 10, FALSE), 1)</f>
        <v>2.774039184995805E-3</v>
      </c>
      <c r="W6" s="7">
        <f>$B6 * IFERROR(VLOOKUP("buildings|NOx|Asthma symptoms cough", US_national_yearly!$D:$AM, 31, FALSE) / VLOOKUP("buildings|NOx|Asthma symptoms cough", US_national_yearly!$D:$AM, 10, FALSE), 1)</f>
        <v>2.7879447993834593E-3</v>
      </c>
      <c r="X6" s="7">
        <f>$B6 * IFERROR(VLOOKUP("buildings|NOx|Asthma symptoms cough", US_national_yearly!$D:$AM, 32, FALSE) / VLOOKUP("buildings|NOx|Asthma symptoms cough", US_national_yearly!$D:$AM, 10, FALSE), 1)</f>
        <v>2.8008650285991782E-3</v>
      </c>
      <c r="Y6" s="7">
        <f>$B6 * IFERROR(VLOOKUP("buildings|NOx|Asthma symptoms cough", US_national_yearly!$D:$AM, 33, FALSE) / VLOOKUP("buildings|NOx|Asthma symptoms cough", US_national_yearly!$D:$AM, 10, FALSE), 1)</f>
        <v>2.813785257814898E-3</v>
      </c>
      <c r="Z6" s="7">
        <f>$B6 * IFERROR(VLOOKUP("buildings|NOx|Asthma symptoms cough", US_national_yearly!$D:$AM, 34, FALSE) / VLOOKUP("buildings|NOx|Asthma symptoms cough", US_national_yearly!$D:$AM, 10, FALSE), 1)</f>
        <v>2.8267054870306173E-3</v>
      </c>
      <c r="AA6" s="7">
        <f>$B6 * IFERROR(VLOOKUP("buildings|NOx|Asthma symptoms cough", US_national_yearly!$D:$AM, 35, FALSE) / VLOOKUP("buildings|NOx|Asthma symptoms cough", US_national_yearly!$D:$AM, 10, FALSE), 1)</f>
        <v>2.8396257162463367E-3</v>
      </c>
      <c r="AB6" s="7">
        <f>$B6 * IFERROR(VLOOKUP("buildings|NOx|Asthma symptoms cough", US_national_yearly!$D:$AM, 36, FALSE) / VLOOKUP("buildings|NOx|Asthma symptoms cough", US_national_yearly!$D:$AM, 10, FALSE), 1)</f>
        <v>2.8525459454620565E-3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3.2760469011788376E-3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3.3208804952673289E-3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3.3657140893558206E-3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3.4105476834443119E-3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3.4553812775328032E-3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3.4912117200407589E-3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3.5270421625487143E-3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3.5394420203314655E-3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3.5518418781142159E-3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3.5642417358969676E-3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3.5766415936797189E-3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3.5890414514624701E-3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3.6033795596917551E-3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3.6177176679210404E-3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3.6320557761503254E-3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3.6463938843796107E-3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3.6607319926088957E-3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3.6794578659150763E-3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3.6981837392212565E-3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3.7169096125274372E-3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3.7356354858336166E-3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3.7543613591397972E-3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3.7717602721604611E-3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3.7891591851811242E-3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3.8065580982017881E-3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3.8239570112224507E-3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3.8413559242431146E-3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5.0052782373090823E-3</v>
      </c>
      <c r="C8" s="7">
        <f>$B8 * IFERROR(VLOOKUP("buildings|NOx|Asthma symptoms wheeze", US_national_yearly!$D:$AM, 11, FALSE) / VLOOKUP("buildings|NOx|Asthma symptoms wheeze", US_national_yearly!$D:$AM, 10, FALSE), 1)</f>
        <v>5.0737768333589646E-3</v>
      </c>
      <c r="D8" s="7">
        <f>$B8 * IFERROR(VLOOKUP("buildings|NOx|Asthma symptoms wheeze", US_national_yearly!$D:$AM, 12, FALSE) / VLOOKUP("buildings|NOx|Asthma symptoms wheeze", US_national_yearly!$D:$AM, 10, FALSE), 1)</f>
        <v>5.142275429408847E-3</v>
      </c>
      <c r="E8" s="7">
        <f>$B8 * IFERROR(VLOOKUP("buildings|NOx|Asthma symptoms wheeze", US_national_yearly!$D:$AM, 13, FALSE) / VLOOKUP("buildings|NOx|Asthma symptoms wheeze", US_national_yearly!$D:$AM, 10, FALSE), 1)</f>
        <v>5.2107740254587285E-3</v>
      </c>
      <c r="F8" s="7">
        <f>$B8 * IFERROR(VLOOKUP("buildings|NOx|Asthma symptoms wheeze", US_national_yearly!$D:$AM, 14, FALSE) / VLOOKUP("buildings|NOx|Asthma symptoms wheeze", US_national_yearly!$D:$AM, 10, FALSE), 1)</f>
        <v>5.2792726215086117E-3</v>
      </c>
      <c r="G8" s="7">
        <f>$B8 * IFERROR(VLOOKUP("buildings|NOx|Asthma symptoms wheeze", US_national_yearly!$D:$AM, 15, FALSE) / VLOOKUP("buildings|NOx|Asthma symptoms wheeze", US_national_yearly!$D:$AM, 10, FALSE), 1)</f>
        <v>5.3340158349940818E-3</v>
      </c>
      <c r="H8" s="7">
        <f>$B8 * IFERROR(VLOOKUP("buildings|NOx|Asthma symptoms wheeze", US_national_yearly!$D:$AM, 16, FALSE) / VLOOKUP("buildings|NOx|Asthma symptoms wheeze", US_national_yearly!$D:$AM, 10, FALSE), 1)</f>
        <v>5.3887590484795501E-3</v>
      </c>
      <c r="I8" s="7">
        <f>$B8 * IFERROR(VLOOKUP("buildings|NOx|Asthma symptoms wheeze", US_national_yearly!$D:$AM, 17, FALSE) / VLOOKUP("buildings|NOx|Asthma symptoms wheeze", US_national_yearly!$D:$AM, 10, FALSE), 1)</f>
        <v>5.4077040578368414E-3</v>
      </c>
      <c r="J8" s="7">
        <f>$B8 * IFERROR(VLOOKUP("buildings|NOx|Asthma symptoms wheeze", US_national_yearly!$D:$AM, 18, FALSE) / VLOOKUP("buildings|NOx|Asthma symptoms wheeze", US_national_yearly!$D:$AM, 10, FALSE), 1)</f>
        <v>5.4266490671941317E-3</v>
      </c>
      <c r="K8" s="7">
        <f>$B8 * IFERROR(VLOOKUP("buildings|NOx|Asthma symptoms wheeze", US_national_yearly!$D:$AM, 19, FALSE) / VLOOKUP("buildings|NOx|Asthma symptoms wheeze", US_national_yearly!$D:$AM, 10, FALSE), 1)</f>
        <v>5.4455940765514221E-3</v>
      </c>
      <c r="L8" s="7">
        <f>$B8 * IFERROR(VLOOKUP("buildings|NOx|Asthma symptoms wheeze", US_national_yearly!$D:$AM, 20, FALSE) / VLOOKUP("buildings|NOx|Asthma symptoms wheeze", US_national_yearly!$D:$AM, 10, FALSE), 1)</f>
        <v>5.4645390859087116E-3</v>
      </c>
      <c r="M8" s="7">
        <f>$B8 * IFERROR(VLOOKUP("buildings|NOx|Asthma symptoms wheeze", US_national_yearly!$D:$AM, 21, FALSE) / VLOOKUP("buildings|NOx|Asthma symptoms wheeze", US_national_yearly!$D:$AM, 10, FALSE), 1)</f>
        <v>5.4834840952660028E-3</v>
      </c>
      <c r="N8" s="7">
        <f>$B8 * IFERROR(VLOOKUP("buildings|NOx|Asthma symptoms wheeze", US_national_yearly!$D:$AM, 22, FALSE) / VLOOKUP("buildings|NOx|Asthma symptoms wheeze", US_national_yearly!$D:$AM, 10, FALSE), 1)</f>
        <v>5.5053904427727609E-3</v>
      </c>
      <c r="O8" s="7">
        <f>$B8 * IFERROR(VLOOKUP("buildings|NOx|Asthma symptoms wheeze", US_national_yearly!$D:$AM, 23, FALSE) / VLOOKUP("buildings|NOx|Asthma symptoms wheeze", US_national_yearly!$D:$AM, 10, FALSE), 1)</f>
        <v>5.5272967902795208E-3</v>
      </c>
      <c r="P8" s="7">
        <f>$B8 * IFERROR(VLOOKUP("buildings|NOx|Asthma symptoms wheeze", US_national_yearly!$D:$AM, 24, FALSE) / VLOOKUP("buildings|NOx|Asthma symptoms wheeze", US_national_yearly!$D:$AM, 10, FALSE), 1)</f>
        <v>5.5492031377862789E-3</v>
      </c>
      <c r="Q8" s="7">
        <f>$B8 * IFERROR(VLOOKUP("buildings|NOx|Asthma symptoms wheeze", US_national_yearly!$D:$AM, 25, FALSE) / VLOOKUP("buildings|NOx|Asthma symptoms wheeze", US_national_yearly!$D:$AM, 10, FALSE), 1)</f>
        <v>5.5711094852930378E-3</v>
      </c>
      <c r="R8" s="7">
        <f>$B8 * IFERROR(VLOOKUP("buildings|NOx|Asthma symptoms wheeze", US_national_yearly!$D:$AM, 26, FALSE) / VLOOKUP("buildings|NOx|Asthma symptoms wheeze", US_national_yearly!$D:$AM, 10, FALSE), 1)</f>
        <v>5.5930158327997959E-3</v>
      </c>
      <c r="S8" s="7">
        <f>$B8 * IFERROR(VLOOKUP("buildings|NOx|Asthma symptoms wheeze", US_national_yearly!$D:$AM, 27, FALSE) / VLOOKUP("buildings|NOx|Asthma symptoms wheeze", US_national_yearly!$D:$AM, 10, FALSE), 1)</f>
        <v>5.6216259869058356E-3</v>
      </c>
      <c r="T8" s="7">
        <f>$B8 * IFERROR(VLOOKUP("buildings|NOx|Asthma symptoms wheeze", US_national_yearly!$D:$AM, 28, FALSE) / VLOOKUP("buildings|NOx|Asthma symptoms wheeze", US_national_yearly!$D:$AM, 10, FALSE), 1)</f>
        <v>5.6502361410118752E-3</v>
      </c>
      <c r="U8" s="7">
        <f>$B8 * IFERROR(VLOOKUP("buildings|NOx|Asthma symptoms wheeze", US_national_yearly!$D:$AM, 29, FALSE) / VLOOKUP("buildings|NOx|Asthma symptoms wheeze", US_national_yearly!$D:$AM, 10, FALSE), 1)</f>
        <v>5.6788462951179158E-3</v>
      </c>
      <c r="V8" s="7">
        <f>$B8 * IFERROR(VLOOKUP("buildings|NOx|Asthma symptoms wheeze", US_national_yearly!$D:$AM, 30, FALSE) / VLOOKUP("buildings|NOx|Asthma symptoms wheeze", US_national_yearly!$D:$AM, 10, FALSE), 1)</f>
        <v>5.7074564492239554E-3</v>
      </c>
      <c r="W8" s="7">
        <f>$B8 * IFERROR(VLOOKUP("buildings|NOx|Asthma symptoms wheeze", US_national_yearly!$D:$AM, 31, FALSE) / VLOOKUP("buildings|NOx|Asthma symptoms wheeze", US_national_yearly!$D:$AM, 10, FALSE), 1)</f>
        <v>5.7360666033299951E-3</v>
      </c>
      <c r="X8" s="7">
        <f>$B8 * IFERROR(VLOOKUP("buildings|NOx|Asthma symptoms wheeze", US_national_yearly!$D:$AM, 32, FALSE) / VLOOKUP("buildings|NOx|Asthma symptoms wheeze", US_national_yearly!$D:$AM, 10, FALSE), 1)</f>
        <v>5.7626493733293031E-3</v>
      </c>
      <c r="Y8" s="7">
        <f>$B8 * IFERROR(VLOOKUP("buildings|NOx|Asthma symptoms wheeze", US_national_yearly!$D:$AM, 33, FALSE) / VLOOKUP("buildings|NOx|Asthma symptoms wheeze", US_national_yearly!$D:$AM, 10, FALSE), 1)</f>
        <v>5.7892321433286103E-3</v>
      </c>
      <c r="Z8" s="7">
        <f>$B8 * IFERROR(VLOOKUP("buildings|NOx|Asthma symptoms wheeze", US_national_yearly!$D:$AM, 34, FALSE) / VLOOKUP("buildings|NOx|Asthma symptoms wheeze", US_national_yearly!$D:$AM, 10, FALSE), 1)</f>
        <v>5.8158149133279192E-3</v>
      </c>
      <c r="AA8" s="7">
        <f>$B8 * IFERROR(VLOOKUP("buildings|NOx|Asthma symptoms wheeze", US_national_yearly!$D:$AM, 35, FALSE) / VLOOKUP("buildings|NOx|Asthma symptoms wheeze", US_national_yearly!$D:$AM, 10, FALSE), 1)</f>
        <v>5.8423976833272273E-3</v>
      </c>
      <c r="AB8" s="7">
        <f>$B8 * IFERROR(VLOOKUP("buildings|NOx|Asthma symptoms wheeze", US_national_yearly!$D:$AM, 36, FALSE) / VLOOKUP("buildings|NOx|Asthma symptoms wheeze", US_national_yearly!$D:$AM, 10, FALSE), 1)</f>
        <v>5.8689804533265362E-3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1.9782583587168759E-4</v>
      </c>
      <c r="C12" s="7">
        <f>$B12 * IFERROR(VLOOKUP("buildings|NOx|Respiratory hospital admissions", US_national_yearly!$D:$AM, 11, FALSE) / VLOOKUP("buildings|NOx|Respiratory hospital admissions", US_national_yearly!$D:$AM, 10, FALSE), 1)</f>
        <v>2.0276838589099877E-4</v>
      </c>
      <c r="D12" s="7">
        <f>$B12 * IFERROR(VLOOKUP("buildings|NOx|Respiratory hospital admissions", US_national_yearly!$D:$AM, 12, FALSE) / VLOOKUP("buildings|NOx|Respiratory hospital admissions", US_national_yearly!$D:$AM, 10, FALSE), 1)</f>
        <v>2.0771093591030992E-4</v>
      </c>
      <c r="E12" s="7">
        <f>$B12 * IFERROR(VLOOKUP("buildings|NOx|Respiratory hospital admissions", US_national_yearly!$D:$AM, 13, FALSE) / VLOOKUP("buildings|NOx|Respiratory hospital admissions", US_national_yearly!$D:$AM, 10, FALSE), 1)</f>
        <v>2.126534859296211E-4</v>
      </c>
      <c r="F12" s="7">
        <f>$B12 * IFERROR(VLOOKUP("buildings|NOx|Respiratory hospital admissions", US_national_yearly!$D:$AM, 14, FALSE) / VLOOKUP("buildings|NOx|Respiratory hospital admissions", US_national_yearly!$D:$AM, 10, FALSE), 1)</f>
        <v>2.1759603594893228E-4</v>
      </c>
      <c r="G12" s="7">
        <f>$B12 * IFERROR(VLOOKUP("buildings|NOx|Respiratory hospital admissions", US_national_yearly!$D:$AM, 15, FALSE) / VLOOKUP("buildings|NOx|Respiratory hospital admissions", US_national_yearly!$D:$AM, 10, FALSE), 1)</f>
        <v>2.2232126416811798E-4</v>
      </c>
      <c r="H12" s="7">
        <f>$B12 * IFERROR(VLOOKUP("buildings|NOx|Respiratory hospital admissions", US_national_yearly!$D:$AM, 16, FALSE) / VLOOKUP("buildings|NOx|Respiratory hospital admissions", US_national_yearly!$D:$AM, 10, FALSE), 1)</f>
        <v>2.2704649238730357E-4</v>
      </c>
      <c r="I12" s="7">
        <f>$B12 * IFERROR(VLOOKUP("buildings|NOx|Respiratory hospital admissions", US_national_yearly!$D:$AM, 17, FALSE) / VLOOKUP("buildings|NOx|Respiratory hospital admissions", US_national_yearly!$D:$AM, 10, FALSE), 1)</f>
        <v>2.3106046243187068E-4</v>
      </c>
      <c r="J12" s="7">
        <f>$B12 * IFERROR(VLOOKUP("buildings|NOx|Respiratory hospital admissions", US_national_yearly!$D:$AM, 18, FALSE) / VLOOKUP("buildings|NOx|Respiratory hospital admissions", US_national_yearly!$D:$AM, 10, FALSE), 1)</f>
        <v>2.3507443247643782E-4</v>
      </c>
      <c r="K12" s="7">
        <f>$B12 * IFERROR(VLOOKUP("buildings|NOx|Respiratory hospital admissions", US_national_yearly!$D:$AM, 19, FALSE) / VLOOKUP("buildings|NOx|Respiratory hospital admissions", US_national_yearly!$D:$AM, 10, FALSE), 1)</f>
        <v>2.3908840252100493E-4</v>
      </c>
      <c r="L12" s="7">
        <f>$B12 * IFERROR(VLOOKUP("buildings|NOx|Respiratory hospital admissions", US_national_yearly!$D:$AM, 20, FALSE) / VLOOKUP("buildings|NOx|Respiratory hospital admissions", US_national_yearly!$D:$AM, 10, FALSE), 1)</f>
        <v>2.4310237256557204E-4</v>
      </c>
      <c r="M12" s="7">
        <f>$B12 * IFERROR(VLOOKUP("buildings|NOx|Respiratory hospital admissions", US_national_yearly!$D:$AM, 21, FALSE) / VLOOKUP("buildings|NOx|Respiratory hospital admissions", US_national_yearly!$D:$AM, 10, FALSE), 1)</f>
        <v>2.4711634261013918E-4</v>
      </c>
      <c r="N12" s="7">
        <f>$B12 * IFERROR(VLOOKUP("buildings|NOx|Respiratory hospital admissions", US_national_yearly!$D:$AM, 22, FALSE) / VLOOKUP("buildings|NOx|Respiratory hospital admissions", US_national_yearly!$D:$AM, 10, FALSE), 1)</f>
        <v>2.4979965949923732E-4</v>
      </c>
      <c r="O12" s="7">
        <f>$B12 * IFERROR(VLOOKUP("buildings|NOx|Respiratory hospital admissions", US_national_yearly!$D:$AM, 23, FALSE) / VLOOKUP("buildings|NOx|Respiratory hospital admissions", US_national_yearly!$D:$AM, 10, FALSE), 1)</f>
        <v>2.5248297638833553E-4</v>
      </c>
      <c r="P12" s="7">
        <f>$B12 * IFERROR(VLOOKUP("buildings|NOx|Respiratory hospital admissions", US_national_yearly!$D:$AM, 24, FALSE) / VLOOKUP("buildings|NOx|Respiratory hospital admissions", US_national_yearly!$D:$AM, 10, FALSE), 1)</f>
        <v>2.5516629327743373E-4</v>
      </c>
      <c r="Q12" s="7">
        <f>$B12 * IFERROR(VLOOKUP("buildings|NOx|Respiratory hospital admissions", US_national_yearly!$D:$AM, 25, FALSE) / VLOOKUP("buildings|NOx|Respiratory hospital admissions", US_national_yearly!$D:$AM, 10, FALSE), 1)</f>
        <v>2.5784961016653198E-4</v>
      </c>
      <c r="R12" s="7">
        <f>$B12 * IFERROR(VLOOKUP("buildings|NOx|Respiratory hospital admissions", US_national_yearly!$D:$AM, 26, FALSE) / VLOOKUP("buildings|NOx|Respiratory hospital admissions", US_national_yearly!$D:$AM, 10, FALSE), 1)</f>
        <v>2.6053292705563013E-4</v>
      </c>
      <c r="S12" s="7">
        <f>$B12 * IFERROR(VLOOKUP("buildings|NOx|Respiratory hospital admissions", US_national_yearly!$D:$AM, 27, FALSE) / VLOOKUP("buildings|NOx|Respiratory hospital admissions", US_national_yearly!$D:$AM, 10, FALSE), 1)</f>
        <v>2.6197164031090142E-4</v>
      </c>
      <c r="T12" s="7">
        <f>$B12 * IFERROR(VLOOKUP("buildings|NOx|Respiratory hospital admissions", US_national_yearly!$D:$AM, 28, FALSE) / VLOOKUP("buildings|NOx|Respiratory hospital admissions", US_national_yearly!$D:$AM, 10, FALSE), 1)</f>
        <v>2.634103535661727E-4</v>
      </c>
      <c r="U12" s="7">
        <f>$B12 * IFERROR(VLOOKUP("buildings|NOx|Respiratory hospital admissions", US_national_yearly!$D:$AM, 29, FALSE) / VLOOKUP("buildings|NOx|Respiratory hospital admissions", US_national_yearly!$D:$AM, 10, FALSE), 1)</f>
        <v>2.6484906682144399E-4</v>
      </c>
      <c r="V12" s="7">
        <f>$B12 * IFERROR(VLOOKUP("buildings|NOx|Respiratory hospital admissions", US_national_yearly!$D:$AM, 30, FALSE) / VLOOKUP("buildings|NOx|Respiratory hospital admissions", US_national_yearly!$D:$AM, 10, FALSE), 1)</f>
        <v>2.6628778007671528E-4</v>
      </c>
      <c r="W12" s="7">
        <f>$B12 * IFERROR(VLOOKUP("buildings|NOx|Respiratory hospital admissions", US_national_yearly!$D:$AM, 31, FALSE) / VLOOKUP("buildings|NOx|Respiratory hospital admissions", US_national_yearly!$D:$AM, 10, FALSE), 1)</f>
        <v>2.6772649333198651E-4</v>
      </c>
      <c r="X12" s="7">
        <f>$B12 * IFERROR(VLOOKUP("buildings|NOx|Respiratory hospital admissions", US_national_yearly!$D:$AM, 32, FALSE) / VLOOKUP("buildings|NOx|Respiratory hospital admissions", US_national_yearly!$D:$AM, 10, FALSE), 1)</f>
        <v>2.687113604402989E-4</v>
      </c>
      <c r="Y12" s="7">
        <f>$B12 * IFERROR(VLOOKUP("buildings|NOx|Respiratory hospital admissions", US_national_yearly!$D:$AM, 33, FALSE) / VLOOKUP("buildings|NOx|Respiratory hospital admissions", US_national_yearly!$D:$AM, 10, FALSE), 1)</f>
        <v>2.6969622754861123E-4</v>
      </c>
      <c r="Z12" s="7">
        <f>$B12 * IFERROR(VLOOKUP("buildings|NOx|Respiratory hospital admissions", US_national_yearly!$D:$AM, 34, FALSE) / VLOOKUP("buildings|NOx|Respiratory hospital admissions", US_national_yearly!$D:$AM, 10, FALSE), 1)</f>
        <v>2.7068109465692362E-4</v>
      </c>
      <c r="AA12" s="7">
        <f>$B12 * IFERROR(VLOOKUP("buildings|NOx|Respiratory hospital admissions", US_national_yearly!$D:$AM, 35, FALSE) / VLOOKUP("buildings|NOx|Respiratory hospital admissions", US_national_yearly!$D:$AM, 10, FALSE), 1)</f>
        <v>2.7166596176523596E-4</v>
      </c>
      <c r="AB12" s="7">
        <f>$B12 * IFERROR(VLOOKUP("buildings|NOx|Respiratory hospital admissions", US_national_yearly!$D:$AM, 36, FALSE) / VLOOKUP("buildings|NOx|Respiratory hospital admissions", US_national_yearly!$D:$AM, 10, FALSE), 1)</f>
        <v>2.7265082887354829E-4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1.2379396960115285E-3</v>
      </c>
      <c r="C13" s="7">
        <f>$B13 * IFERROR(VLOOKUP("buildings|NOx|Non-fatal heart attacks", US_national_yearly!$D:$AM, 11, FALSE) / VLOOKUP("buildings|NOx|Non-fatal heart attacks", US_national_yearly!$D:$AM, 10, FALSE), 1)</f>
        <v>1.2733546267249328E-3</v>
      </c>
      <c r="D13" s="7">
        <f>$B13 * IFERROR(VLOOKUP("buildings|NOx|Non-fatal heart attacks", US_national_yearly!$D:$AM, 12, FALSE) / VLOOKUP("buildings|NOx|Non-fatal heart attacks", US_national_yearly!$D:$AM, 10, FALSE), 1)</f>
        <v>1.3087695574383377E-3</v>
      </c>
      <c r="E13" s="7">
        <f>$B13 * IFERROR(VLOOKUP("buildings|NOx|Non-fatal heart attacks", US_national_yearly!$D:$AM, 13, FALSE) / VLOOKUP("buildings|NOx|Non-fatal heart attacks", US_national_yearly!$D:$AM, 10, FALSE), 1)</f>
        <v>1.3441844881517419E-3</v>
      </c>
      <c r="F13" s="7">
        <f>$B13 * IFERROR(VLOOKUP("buildings|NOx|Non-fatal heart attacks", US_national_yearly!$D:$AM, 14, FALSE) / VLOOKUP("buildings|NOx|Non-fatal heart attacks", US_national_yearly!$D:$AM, 10, FALSE), 1)</f>
        <v>1.3795994188651464E-3</v>
      </c>
      <c r="G13" s="7">
        <f>$B13 * IFERROR(VLOOKUP("buildings|NOx|Non-fatal heart attacks", US_national_yearly!$D:$AM, 15, FALSE) / VLOOKUP("buildings|NOx|Non-fatal heart attacks", US_national_yearly!$D:$AM, 10, FALSE), 1)</f>
        <v>1.4127016354869887E-3</v>
      </c>
      <c r="H13" s="7">
        <f>$B13 * IFERROR(VLOOKUP("buildings|NOx|Non-fatal heart attacks", US_national_yearly!$D:$AM, 16, FALSE) / VLOOKUP("buildings|NOx|Non-fatal heart attacks", US_national_yearly!$D:$AM, 10, FALSE), 1)</f>
        <v>1.4458038521088313E-3</v>
      </c>
      <c r="I13" s="7">
        <f>$B13 * IFERROR(VLOOKUP("buildings|NOx|Non-fatal heart attacks", US_national_yearly!$D:$AM, 17, FALSE) / VLOOKUP("buildings|NOx|Non-fatal heart attacks", US_national_yearly!$D:$AM, 10, FALSE), 1)</f>
        <v>1.4719191214855379E-3</v>
      </c>
      <c r="J13" s="7">
        <f>$B13 * IFERROR(VLOOKUP("buildings|NOx|Non-fatal heart attacks", US_national_yearly!$D:$AM, 18, FALSE) / VLOOKUP("buildings|NOx|Non-fatal heart attacks", US_national_yearly!$D:$AM, 10, FALSE), 1)</f>
        <v>1.4980343908622446E-3</v>
      </c>
      <c r="K13" s="7">
        <f>$B13 * IFERROR(VLOOKUP("buildings|NOx|Non-fatal heart attacks", US_national_yearly!$D:$AM, 19, FALSE) / VLOOKUP("buildings|NOx|Non-fatal heart attacks", US_national_yearly!$D:$AM, 10, FALSE), 1)</f>
        <v>1.5241496602389519E-3</v>
      </c>
      <c r="L13" s="7">
        <f>$B13 * IFERROR(VLOOKUP("buildings|NOx|Non-fatal heart attacks", US_national_yearly!$D:$AM, 20, FALSE) / VLOOKUP("buildings|NOx|Non-fatal heart attacks", US_national_yearly!$D:$AM, 10, FALSE), 1)</f>
        <v>1.5502649296156577E-3</v>
      </c>
      <c r="M13" s="7">
        <f>$B13 * IFERROR(VLOOKUP("buildings|NOx|Non-fatal heart attacks", US_national_yearly!$D:$AM, 21, FALSE) / VLOOKUP("buildings|NOx|Non-fatal heart attacks", US_national_yearly!$D:$AM, 10, FALSE), 1)</f>
        <v>1.576380198992365E-3</v>
      </c>
      <c r="N13" s="7">
        <f>$B13 * IFERROR(VLOOKUP("buildings|NOx|Non-fatal heart attacks", US_national_yearly!$D:$AM, 22, FALSE) / VLOOKUP("buildings|NOx|Non-fatal heart attacks", US_national_yearly!$D:$AM, 10, FALSE), 1)</f>
        <v>1.5920971597623049E-3</v>
      </c>
      <c r="O13" s="7">
        <f>$B13 * IFERROR(VLOOKUP("buildings|NOx|Non-fatal heart attacks", US_national_yearly!$D:$AM, 23, FALSE) / VLOOKUP("buildings|NOx|Non-fatal heart attacks", US_national_yearly!$D:$AM, 10, FALSE), 1)</f>
        <v>1.6078141205322445E-3</v>
      </c>
      <c r="P13" s="7">
        <f>$B13 * IFERROR(VLOOKUP("buildings|NOx|Non-fatal heart attacks", US_national_yearly!$D:$AM, 24, FALSE) / VLOOKUP("buildings|NOx|Non-fatal heart attacks", US_national_yearly!$D:$AM, 10, FALSE), 1)</f>
        <v>1.6235310813021843E-3</v>
      </c>
      <c r="Q13" s="7">
        <f>$B13 * IFERROR(VLOOKUP("buildings|NOx|Non-fatal heart attacks", US_national_yearly!$D:$AM, 25, FALSE) / VLOOKUP("buildings|NOx|Non-fatal heart attacks", US_national_yearly!$D:$AM, 10, FALSE), 1)</f>
        <v>1.6392480420721243E-3</v>
      </c>
      <c r="R13" s="7">
        <f>$B13 * IFERROR(VLOOKUP("buildings|NOx|Non-fatal heart attacks", US_national_yearly!$D:$AM, 26, FALSE) / VLOOKUP("buildings|NOx|Non-fatal heart attacks", US_national_yearly!$D:$AM, 10, FALSE), 1)</f>
        <v>1.6549650028420638E-3</v>
      </c>
      <c r="S13" s="7">
        <f>$B13 * IFERROR(VLOOKUP("buildings|NOx|Non-fatal heart attacks", US_national_yearly!$D:$AM, 27, FALSE) / VLOOKUP("buildings|NOx|Non-fatal heart attacks", US_national_yearly!$D:$AM, 10, FALSE), 1)</f>
        <v>1.6621074063947212E-3</v>
      </c>
      <c r="T13" s="7">
        <f>$B13 * IFERROR(VLOOKUP("buildings|NOx|Non-fatal heart attacks", US_national_yearly!$D:$AM, 28, FALSE) / VLOOKUP("buildings|NOx|Non-fatal heart attacks", US_national_yearly!$D:$AM, 10, FALSE), 1)</f>
        <v>1.6692498099473792E-3</v>
      </c>
      <c r="U13" s="7">
        <f>$B13 * IFERROR(VLOOKUP("buildings|NOx|Non-fatal heart attacks", US_national_yearly!$D:$AM, 29, FALSE) / VLOOKUP("buildings|NOx|Non-fatal heart attacks", US_national_yearly!$D:$AM, 10, FALSE), 1)</f>
        <v>1.6763922135000367E-3</v>
      </c>
      <c r="V13" s="7">
        <f>$B13 * IFERROR(VLOOKUP("buildings|NOx|Non-fatal heart attacks", US_national_yearly!$D:$AM, 30, FALSE) / VLOOKUP("buildings|NOx|Non-fatal heart attacks", US_national_yearly!$D:$AM, 10, FALSE), 1)</f>
        <v>1.6835346170526941E-3</v>
      </c>
      <c r="W13" s="7">
        <f>$B13 * IFERROR(VLOOKUP("buildings|NOx|Non-fatal heart attacks", US_national_yearly!$D:$AM, 31, FALSE) / VLOOKUP("buildings|NOx|Non-fatal heart attacks", US_national_yearly!$D:$AM, 10, FALSE), 1)</f>
        <v>1.6906770206053519E-3</v>
      </c>
      <c r="X13" s="7">
        <f>$B13 * IFERROR(VLOOKUP("buildings|NOx|Non-fatal heart attacks", US_national_yearly!$D:$AM, 32, FALSE) / VLOOKUP("buildings|NOx|Non-fatal heart attacks", US_national_yearly!$D:$AM, 10, FALSE), 1)</f>
        <v>1.6954547069654539E-3</v>
      </c>
      <c r="Y13" s="7">
        <f>$B13 * IFERROR(VLOOKUP("buildings|NOx|Non-fatal heart attacks", US_national_yearly!$D:$AM, 33, FALSE) / VLOOKUP("buildings|NOx|Non-fatal heart attacks", US_national_yearly!$D:$AM, 10, FALSE), 1)</f>
        <v>1.700232393325556E-3</v>
      </c>
      <c r="Z13" s="7">
        <f>$B13 * IFERROR(VLOOKUP("buildings|NOx|Non-fatal heart attacks", US_national_yearly!$D:$AM, 34, FALSE) / VLOOKUP("buildings|NOx|Non-fatal heart attacks", US_national_yearly!$D:$AM, 10, FALSE), 1)</f>
        <v>1.7050100796856585E-3</v>
      </c>
      <c r="AA13" s="7">
        <f>$B13 * IFERROR(VLOOKUP("buildings|NOx|Non-fatal heart attacks", US_national_yearly!$D:$AM, 35, FALSE) / VLOOKUP("buildings|NOx|Non-fatal heart attacks", US_national_yearly!$D:$AM, 10, FALSE), 1)</f>
        <v>1.7097877660457606E-3</v>
      </c>
      <c r="AB13" s="7">
        <f>$B13 * IFERROR(VLOOKUP("buildings|NOx|Non-fatal heart attacks", US_national_yearly!$D:$AM, 36, FALSE) / VLOOKUP("buildings|NOx|Non-fatal heart attacks", US_national_yearly!$D:$AM, 10, FALSE), 1)</f>
        <v>1.7145654524058629E-3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0.30083728891048256</v>
      </c>
      <c r="C14" s="7">
        <f>$B14 * IFERROR(VLOOKUP("buildings|NOx|Minor restricted activity days", US_national_yearly!$D:$AM, 11, FALSE) / VLOOKUP("buildings|NOx|Minor restricted activity days", US_national_yearly!$D:$AM, 10, FALSE), 1)</f>
        <v>0.3013041172369863</v>
      </c>
      <c r="D14" s="7">
        <f>$B14 * IFERROR(VLOOKUP("buildings|NOx|Minor restricted activity days", US_national_yearly!$D:$AM, 12, FALSE) / VLOOKUP("buildings|NOx|Minor restricted activity days", US_national_yearly!$D:$AM, 10, FALSE), 1)</f>
        <v>0.30177094556349005</v>
      </c>
      <c r="E14" s="7">
        <f>$B14 * IFERROR(VLOOKUP("buildings|NOx|Minor restricted activity days", US_national_yearly!$D:$AM, 13, FALSE) / VLOOKUP("buildings|NOx|Minor restricted activity days", US_national_yearly!$D:$AM, 10, FALSE), 1)</f>
        <v>0.30223777388999379</v>
      </c>
      <c r="F14" s="7">
        <f>$B14 * IFERROR(VLOOKUP("buildings|NOx|Minor restricted activity days", US_national_yearly!$D:$AM, 14, FALSE) / VLOOKUP("buildings|NOx|Minor restricted activity days", US_national_yearly!$D:$AM, 10, FALSE), 1)</f>
        <v>0.30270460221649748</v>
      </c>
      <c r="G14" s="7">
        <f>$B14 * IFERROR(VLOOKUP("buildings|NOx|Minor restricted activity days", US_national_yearly!$D:$AM, 15, FALSE) / VLOOKUP("buildings|NOx|Minor restricted activity days", US_national_yearly!$D:$AM, 10, FALSE), 1)</f>
        <v>0.30354326011515692</v>
      </c>
      <c r="H14" s="7">
        <f>$B14 * IFERROR(VLOOKUP("buildings|NOx|Minor restricted activity days", US_national_yearly!$D:$AM, 16, FALSE) / VLOOKUP("buildings|NOx|Minor restricted activity days", US_national_yearly!$D:$AM, 10, FALSE), 1)</f>
        <v>0.30438191801381637</v>
      </c>
      <c r="I14" s="7">
        <f>$B14 * IFERROR(VLOOKUP("buildings|NOx|Minor restricted activity days", US_national_yearly!$D:$AM, 17, FALSE) / VLOOKUP("buildings|NOx|Minor restricted activity days", US_national_yearly!$D:$AM, 10, FALSE), 1)</f>
        <v>0.30601706164589593</v>
      </c>
      <c r="J14" s="7">
        <f>$B14 * IFERROR(VLOOKUP("buildings|NOx|Minor restricted activity days", US_national_yearly!$D:$AM, 18, FALSE) / VLOOKUP("buildings|NOx|Minor restricted activity days", US_national_yearly!$D:$AM, 10, FALSE), 1)</f>
        <v>0.30765220527797554</v>
      </c>
      <c r="K14" s="7">
        <f>$B14 * IFERROR(VLOOKUP("buildings|NOx|Minor restricted activity days", US_national_yearly!$D:$AM, 19, FALSE) / VLOOKUP("buildings|NOx|Minor restricted activity days", US_national_yearly!$D:$AM, 10, FALSE), 1)</f>
        <v>0.3092873489100551</v>
      </c>
      <c r="L14" s="7">
        <f>$B14 * IFERROR(VLOOKUP("buildings|NOx|Minor restricted activity days", US_national_yearly!$D:$AM, 20, FALSE) / VLOOKUP("buildings|NOx|Minor restricted activity days", US_national_yearly!$D:$AM, 10, FALSE), 1)</f>
        <v>0.31092249254213472</v>
      </c>
      <c r="M14" s="7">
        <f>$B14 * IFERROR(VLOOKUP("buildings|NOx|Minor restricted activity days", US_national_yearly!$D:$AM, 21, FALSE) / VLOOKUP("buildings|NOx|Minor restricted activity days", US_national_yearly!$D:$AM, 10, FALSE), 1)</f>
        <v>0.31255763617421428</v>
      </c>
      <c r="N14" s="7">
        <f>$B14 * IFERROR(VLOOKUP("buildings|NOx|Minor restricted activity days", US_national_yearly!$D:$AM, 22, FALSE) / VLOOKUP("buildings|NOx|Minor restricted activity days", US_national_yearly!$D:$AM, 10, FALSE), 1)</f>
        <v>0.31489688620152073</v>
      </c>
      <c r="O14" s="7">
        <f>$B14 * IFERROR(VLOOKUP("buildings|NOx|Minor restricted activity days", US_national_yearly!$D:$AM, 23, FALSE) / VLOOKUP("buildings|NOx|Minor restricted activity days", US_national_yearly!$D:$AM, 10, FALSE), 1)</f>
        <v>0.31723613622882713</v>
      </c>
      <c r="P14" s="7">
        <f>$B14 * IFERROR(VLOOKUP("buildings|NOx|Minor restricted activity days", US_national_yearly!$D:$AM, 24, FALSE) / VLOOKUP("buildings|NOx|Minor restricted activity days", US_national_yearly!$D:$AM, 10, FALSE), 1)</f>
        <v>0.31957538625613358</v>
      </c>
      <c r="Q14" s="7">
        <f>$B14 * IFERROR(VLOOKUP("buildings|NOx|Minor restricted activity days", US_national_yearly!$D:$AM, 25, FALSE) / VLOOKUP("buildings|NOx|Minor restricted activity days", US_national_yearly!$D:$AM, 10, FALSE), 1)</f>
        <v>0.32191463628343997</v>
      </c>
      <c r="R14" s="7">
        <f>$B14 * IFERROR(VLOOKUP("buildings|NOx|Minor restricted activity days", US_national_yearly!$D:$AM, 26, FALSE) / VLOOKUP("buildings|NOx|Minor restricted activity days", US_national_yearly!$D:$AM, 10, FALSE), 1)</f>
        <v>0.32425388631074636</v>
      </c>
      <c r="S14" s="7">
        <f>$B14 * IFERROR(VLOOKUP("buildings|NOx|Minor restricted activity days", US_national_yearly!$D:$AM, 27, FALSE) / VLOOKUP("buildings|NOx|Minor restricted activity days", US_national_yearly!$D:$AM, 10, FALSE), 1)</f>
        <v>0.3265924629314837</v>
      </c>
      <c r="T14" s="7">
        <f>$B14 * IFERROR(VLOOKUP("buildings|NOx|Minor restricted activity days", US_national_yearly!$D:$AM, 28, FALSE) / VLOOKUP("buildings|NOx|Minor restricted activity days", US_national_yearly!$D:$AM, 10, FALSE), 1)</f>
        <v>0.32893103955222103</v>
      </c>
      <c r="U14" s="7">
        <f>$B14 * IFERROR(VLOOKUP("buildings|NOx|Minor restricted activity days", US_national_yearly!$D:$AM, 29, FALSE) / VLOOKUP("buildings|NOx|Minor restricted activity days", US_national_yearly!$D:$AM, 10, FALSE), 1)</f>
        <v>0.33126961617295836</v>
      </c>
      <c r="V14" s="7">
        <f>$B14 * IFERROR(VLOOKUP("buildings|NOx|Minor restricted activity days", US_national_yearly!$D:$AM, 30, FALSE) / VLOOKUP("buildings|NOx|Minor restricted activity days", US_national_yearly!$D:$AM, 10, FALSE), 1)</f>
        <v>0.33360819279369569</v>
      </c>
      <c r="W14" s="7">
        <f>$B14 * IFERROR(VLOOKUP("buildings|NOx|Minor restricted activity days", US_national_yearly!$D:$AM, 31, FALSE) / VLOOKUP("buildings|NOx|Minor restricted activity days", US_national_yearly!$D:$AM, 10, FALSE), 1)</f>
        <v>0.33594676941443302</v>
      </c>
      <c r="X14" s="7">
        <f>$B14 * IFERROR(VLOOKUP("buildings|NOx|Minor restricted activity days", US_national_yearly!$D:$AM, 32, FALSE) / VLOOKUP("buildings|NOx|Minor restricted activity days", US_national_yearly!$D:$AM, 10, FALSE), 1)</f>
        <v>0.33792459972403188</v>
      </c>
      <c r="Y14" s="7">
        <f>$B14 * IFERROR(VLOOKUP("buildings|NOx|Minor restricted activity days", US_national_yearly!$D:$AM, 33, FALSE) / VLOOKUP("buildings|NOx|Minor restricted activity days", US_national_yearly!$D:$AM, 10, FALSE), 1)</f>
        <v>0.33990243003363085</v>
      </c>
      <c r="Z14" s="7">
        <f>$B14 * IFERROR(VLOOKUP("buildings|NOx|Minor restricted activity days", US_national_yearly!$D:$AM, 34, FALSE) / VLOOKUP("buildings|NOx|Minor restricted activity days", US_national_yearly!$D:$AM, 10, FALSE), 1)</f>
        <v>0.34188026034322966</v>
      </c>
      <c r="AA14" s="7">
        <f>$B14 * IFERROR(VLOOKUP("buildings|NOx|Minor restricted activity days", US_national_yearly!$D:$AM, 35, FALSE) / VLOOKUP("buildings|NOx|Minor restricted activity days", US_national_yearly!$D:$AM, 10, FALSE), 1)</f>
        <v>0.34385809065282863</v>
      </c>
      <c r="AB14" s="7">
        <f>$B14 * IFERROR(VLOOKUP("buildings|NOx|Minor restricted activity days", US_national_yearly!$D:$AM, 36, FALSE) / VLOOKUP("buildings|NOx|Minor restricted activity days", US_national_yearly!$D:$AM, 10, FALSE), 1)</f>
        <v>0.34583592096242755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5.114501082323443E-2</v>
      </c>
      <c r="C15" s="7">
        <f>$B15 * IFERROR(VLOOKUP("buildings|NOx|Work loss days", US_national_yearly!$D:$AM, 11, FALSE) / VLOOKUP("buildings|NOx|Work loss days", US_national_yearly!$D:$AM, 10, FALSE), 1)</f>
        <v>5.1259664387214084E-2</v>
      </c>
      <c r="D15" s="7">
        <f>$B15 * IFERROR(VLOOKUP("buildings|NOx|Work loss days", US_national_yearly!$D:$AM, 12, FALSE) / VLOOKUP("buildings|NOx|Work loss days", US_national_yearly!$D:$AM, 10, FALSE), 1)</f>
        <v>5.1374317951193731E-2</v>
      </c>
      <c r="E15" s="7">
        <f>$B15 * IFERROR(VLOOKUP("buildings|NOx|Work loss days", US_national_yearly!$D:$AM, 13, FALSE) / VLOOKUP("buildings|NOx|Work loss days", US_national_yearly!$D:$AM, 10, FALSE), 1)</f>
        <v>5.1488971515173371E-2</v>
      </c>
      <c r="F15" s="7">
        <f>$B15 * IFERROR(VLOOKUP("buildings|NOx|Work loss days", US_national_yearly!$D:$AM, 14, FALSE) / VLOOKUP("buildings|NOx|Work loss days", US_national_yearly!$D:$AM, 10, FALSE), 1)</f>
        <v>5.1603625079153032E-2</v>
      </c>
      <c r="G15" s="7">
        <f>$B15 * IFERROR(VLOOKUP("buildings|NOx|Work loss days", US_national_yearly!$D:$AM, 15, FALSE) / VLOOKUP("buildings|NOx|Work loss days", US_national_yearly!$D:$AM, 10, FALSE), 1)</f>
        <v>5.1770630849483794E-2</v>
      </c>
      <c r="H15" s="7">
        <f>$B15 * IFERROR(VLOOKUP("buildings|NOx|Work loss days", US_national_yearly!$D:$AM, 16, FALSE) / VLOOKUP("buildings|NOx|Work loss days", US_national_yearly!$D:$AM, 10, FALSE), 1)</f>
        <v>5.1937636619814563E-2</v>
      </c>
      <c r="I15" s="7">
        <f>$B15 * IFERROR(VLOOKUP("buildings|NOx|Work loss days", US_national_yearly!$D:$AM, 17, FALSE) / VLOOKUP("buildings|NOx|Work loss days", US_national_yearly!$D:$AM, 10, FALSE), 1)</f>
        <v>5.2207735288983481E-2</v>
      </c>
      <c r="J15" s="7">
        <f>$B15 * IFERROR(VLOOKUP("buildings|NOx|Work loss days", US_national_yearly!$D:$AM, 18, FALSE) / VLOOKUP("buildings|NOx|Work loss days", US_national_yearly!$D:$AM, 10, FALSE), 1)</f>
        <v>5.2477833958152385E-2</v>
      </c>
      <c r="K15" s="7">
        <f>$B15 * IFERROR(VLOOKUP("buildings|NOx|Work loss days", US_national_yearly!$D:$AM, 19, FALSE) / VLOOKUP("buildings|NOx|Work loss days", US_national_yearly!$D:$AM, 10, FALSE), 1)</f>
        <v>5.2747932627321303E-2</v>
      </c>
      <c r="L15" s="7">
        <f>$B15 * IFERROR(VLOOKUP("buildings|NOx|Work loss days", US_national_yearly!$D:$AM, 20, FALSE) / VLOOKUP("buildings|NOx|Work loss days", US_national_yearly!$D:$AM, 10, FALSE), 1)</f>
        <v>5.3018031296490221E-2</v>
      </c>
      <c r="M15" s="7">
        <f>$B15 * IFERROR(VLOOKUP("buildings|NOx|Work loss days", US_national_yearly!$D:$AM, 21, FALSE) / VLOOKUP("buildings|NOx|Work loss days", US_national_yearly!$D:$AM, 10, FALSE), 1)</f>
        <v>5.3288129965659126E-2</v>
      </c>
      <c r="N15" s="7">
        <f>$B15 * IFERROR(VLOOKUP("buildings|NOx|Work loss days", US_national_yearly!$D:$AM, 22, FALSE) / VLOOKUP("buildings|NOx|Work loss days", US_national_yearly!$D:$AM, 10, FALSE), 1)</f>
        <v>5.3639528779771274E-2</v>
      </c>
      <c r="O15" s="7">
        <f>$B15 * IFERROR(VLOOKUP("buildings|NOx|Work loss days", US_national_yearly!$D:$AM, 23, FALSE) / VLOOKUP("buildings|NOx|Work loss days", US_national_yearly!$D:$AM, 10, FALSE), 1)</f>
        <v>5.3990927593883423E-2</v>
      </c>
      <c r="P15" s="7">
        <f>$B15 * IFERROR(VLOOKUP("buildings|NOx|Work loss days", US_national_yearly!$D:$AM, 24, FALSE) / VLOOKUP("buildings|NOx|Work loss days", US_national_yearly!$D:$AM, 10, FALSE), 1)</f>
        <v>5.4342326407995571E-2</v>
      </c>
      <c r="Q15" s="7">
        <f>$B15 * IFERROR(VLOOKUP("buildings|NOx|Work loss days", US_national_yearly!$D:$AM, 25, FALSE) / VLOOKUP("buildings|NOx|Work loss days", US_national_yearly!$D:$AM, 10, FALSE), 1)</f>
        <v>5.4693725222107734E-2</v>
      </c>
      <c r="R15" s="7">
        <f>$B15 * IFERROR(VLOOKUP("buildings|NOx|Work loss days", US_national_yearly!$D:$AM, 26, FALSE) / VLOOKUP("buildings|NOx|Work loss days", US_national_yearly!$D:$AM, 10, FALSE), 1)</f>
        <v>5.5045124036219875E-2</v>
      </c>
      <c r="S15" s="7">
        <f>$B15 * IFERROR(VLOOKUP("buildings|NOx|Work loss days", US_national_yearly!$D:$AM, 27, FALSE) / VLOOKUP("buildings|NOx|Work loss days", US_national_yearly!$D:$AM, 10, FALSE), 1)</f>
        <v>5.5436696432371417E-2</v>
      </c>
      <c r="T15" s="7">
        <f>$B15 * IFERROR(VLOOKUP("buildings|NOx|Work loss days", US_national_yearly!$D:$AM, 28, FALSE) / VLOOKUP("buildings|NOx|Work loss days", US_national_yearly!$D:$AM, 10, FALSE), 1)</f>
        <v>5.5828268828522973E-2</v>
      </c>
      <c r="U15" s="7">
        <f>$B15 * IFERROR(VLOOKUP("buildings|NOx|Work loss days", US_national_yearly!$D:$AM, 29, FALSE) / VLOOKUP("buildings|NOx|Work loss days", US_national_yearly!$D:$AM, 10, FALSE), 1)</f>
        <v>5.6219841224674515E-2</v>
      </c>
      <c r="V15" s="7">
        <f>$B15 * IFERROR(VLOOKUP("buildings|NOx|Work loss days", US_national_yearly!$D:$AM, 30, FALSE) / VLOOKUP("buildings|NOx|Work loss days", US_national_yearly!$D:$AM, 10, FALSE), 1)</f>
        <v>5.6611413620826057E-2</v>
      </c>
      <c r="W15" s="7">
        <f>$B15 * IFERROR(VLOOKUP("buildings|NOx|Work loss days", US_national_yearly!$D:$AM, 31, FALSE) / VLOOKUP("buildings|NOx|Work loss days", US_national_yearly!$D:$AM, 10, FALSE), 1)</f>
        <v>5.7002986016977598E-2</v>
      </c>
      <c r="X15" s="7">
        <f>$B15 * IFERROR(VLOOKUP("buildings|NOx|Work loss days", US_national_yearly!$D:$AM, 32, FALSE) / VLOOKUP("buildings|NOx|Work loss days", US_national_yearly!$D:$AM, 10, FALSE), 1)</f>
        <v>5.7342952670888098E-2</v>
      </c>
      <c r="Y15" s="7">
        <f>$B15 * IFERROR(VLOOKUP("buildings|NOx|Work loss days", US_national_yearly!$D:$AM, 33, FALSE) / VLOOKUP("buildings|NOx|Work loss days", US_national_yearly!$D:$AM, 10, FALSE), 1)</f>
        <v>5.768291932479859E-2</v>
      </c>
      <c r="Z15" s="7">
        <f>$B15 * IFERROR(VLOOKUP("buildings|NOx|Work loss days", US_national_yearly!$D:$AM, 34, FALSE) / VLOOKUP("buildings|NOx|Work loss days", US_national_yearly!$D:$AM, 10, FALSE), 1)</f>
        <v>5.8022885978709089E-2</v>
      </c>
      <c r="AA15" s="7">
        <f>$B15 * IFERROR(VLOOKUP("buildings|NOx|Work loss days", US_national_yearly!$D:$AM, 35, FALSE) / VLOOKUP("buildings|NOx|Work loss days", US_national_yearly!$D:$AM, 10, FALSE), 1)</f>
        <v>5.8362852632619588E-2</v>
      </c>
      <c r="AB15" s="7">
        <f>$B15 * IFERROR(VLOOKUP("buildings|NOx|Work loss days", US_national_yearly!$D:$AM, 36, FALSE) / VLOOKUP("buildings|NOx|Work loss days", US_national_yearly!$D:$AM, 10, FALSE), 1)</f>
        <v>5.8702819286530081E-2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3.0644118991367356E-4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3.1545058812725642E-4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3.2445998634083933E-4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3.3346938455442219E-4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3.4247878276800505E-4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3.5103754721158226E-4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3.5959631165515947E-4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3.6679766692608291E-4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3.7399902219700625E-4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3.8120037746792958E-4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3.8840173273885291E-4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3.9560308800977618E-4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4.0010778172463541E-4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4.0461247543949452E-4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4.0911716915435368E-4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4.1362186286921285E-4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4.1812655658407196E-4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4.2018487931424461E-4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4.2224320204441721E-4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4.2430152477458986E-4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4.263598475047624E-4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4.2841817023493505E-4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4.2956545854219545E-4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4.307127468494559E-4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4.318600351567163E-4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4.330073234639768E-4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4.341546117712372E-4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3.329920816167961E-3</v>
      </c>
      <c r="C2" s="7">
        <f>$B2 * IFERROR(VLOOKUP("buildings|SO2|Premature mortality", US_national_yearly!$D:$AM, 11, FALSE) / VLOOKUP("buildings|SO2|Premature mortality", US_national_yearly!$D:$AM, 10, FALSE), 1)</f>
        <v>3.3721056244436507E-3</v>
      </c>
      <c r="D2" s="7">
        <f>$B2 * IFERROR(VLOOKUP("buildings|SO2|Premature mortality", US_national_yearly!$D:$AM, 12, FALSE) / VLOOKUP("buildings|SO2|Premature mortality", US_national_yearly!$D:$AM, 10, FALSE), 1)</f>
        <v>3.4142904327193395E-3</v>
      </c>
      <c r="E2" s="7">
        <f>$B2 * IFERROR(VLOOKUP("buildings|SO2|Premature mortality", US_national_yearly!$D:$AM, 13, FALSE) / VLOOKUP("buildings|SO2|Premature mortality", US_national_yearly!$D:$AM, 10, FALSE), 1)</f>
        <v>3.4564752409950291E-3</v>
      </c>
      <c r="F2" s="7">
        <f>$B2 * IFERROR(VLOOKUP("buildings|SO2|Premature mortality", US_national_yearly!$D:$AM, 14, FALSE) / VLOOKUP("buildings|SO2|Premature mortality", US_national_yearly!$D:$AM, 10, FALSE), 1)</f>
        <v>3.4986600492707188E-3</v>
      </c>
      <c r="G2" s="7">
        <f>$B2 * IFERROR(VLOOKUP("buildings|SO2|Premature mortality", US_national_yearly!$D:$AM, 15, FALSE) / VLOOKUP("buildings|SO2|Premature mortality", US_national_yearly!$D:$AM, 10, FALSE), 1)</f>
        <v>3.5799416152186825E-3</v>
      </c>
      <c r="H2" s="7">
        <f>$B2 * IFERROR(VLOOKUP("buildings|SO2|Premature mortality", US_national_yearly!$D:$AM, 16, FALSE) / VLOOKUP("buildings|SO2|Premature mortality", US_national_yearly!$D:$AM, 10, FALSE), 1)</f>
        <v>3.6612231811666471E-3</v>
      </c>
      <c r="I2" s="7">
        <f>$B2 * IFERROR(VLOOKUP("buildings|SO2|Premature mortality", US_national_yearly!$D:$AM, 17, FALSE) / VLOOKUP("buildings|SO2|Premature mortality", US_national_yearly!$D:$AM, 10, FALSE), 1)</f>
        <v>3.7149660857037034E-3</v>
      </c>
      <c r="J2" s="7">
        <f>$B2 * IFERROR(VLOOKUP("buildings|SO2|Premature mortality", US_national_yearly!$D:$AM, 18, FALSE) / VLOOKUP("buildings|SO2|Premature mortality", US_national_yearly!$D:$AM, 10, FALSE), 1)</f>
        <v>3.7687089902407587E-3</v>
      </c>
      <c r="K2" s="7">
        <f>$B2 * IFERROR(VLOOKUP("buildings|SO2|Premature mortality", US_national_yearly!$D:$AM, 19, FALSE) / VLOOKUP("buildings|SO2|Premature mortality", US_national_yearly!$D:$AM, 10, FALSE), 1)</f>
        <v>3.8224518947778149E-3</v>
      </c>
      <c r="L2" s="7">
        <f>$B2 * IFERROR(VLOOKUP("buildings|SO2|Premature mortality", US_national_yearly!$D:$AM, 20, FALSE) / VLOOKUP("buildings|SO2|Premature mortality", US_national_yearly!$D:$AM, 10, FALSE), 1)</f>
        <v>3.8761947993148703E-3</v>
      </c>
      <c r="M2" s="7">
        <f>$B2 * IFERROR(VLOOKUP("buildings|SO2|Premature mortality", US_national_yearly!$D:$AM, 21, FALSE) / VLOOKUP("buildings|SO2|Premature mortality", US_national_yearly!$D:$AM, 10, FALSE), 1)</f>
        <v>3.9299377038519261E-3</v>
      </c>
      <c r="N2" s="7">
        <f>$B2 * IFERROR(VLOOKUP("buildings|SO2|Premature mortality", US_national_yearly!$D:$AM, 22, FALSE) / VLOOKUP("buildings|SO2|Premature mortality", US_national_yearly!$D:$AM, 10, FALSE), 1)</f>
        <v>3.9719197731178874E-3</v>
      </c>
      <c r="O2" s="7">
        <f>$B2 * IFERROR(VLOOKUP("buildings|SO2|Premature mortality", US_national_yearly!$D:$AM, 23, FALSE) / VLOOKUP("buildings|SO2|Premature mortality", US_national_yearly!$D:$AM, 10, FALSE), 1)</f>
        <v>4.0139018423838452E-3</v>
      </c>
      <c r="P2" s="7">
        <f>$B2 * IFERROR(VLOOKUP("buildings|SO2|Premature mortality", US_national_yearly!$D:$AM, 24, FALSE) / VLOOKUP("buildings|SO2|Premature mortality", US_national_yearly!$D:$AM, 10, FALSE), 1)</f>
        <v>4.0558839116498057E-3</v>
      </c>
      <c r="Q2" s="7">
        <f>$B2 * IFERROR(VLOOKUP("buildings|SO2|Premature mortality", US_national_yearly!$D:$AM, 25, FALSE) / VLOOKUP("buildings|SO2|Premature mortality", US_national_yearly!$D:$AM, 10, FALSE), 1)</f>
        <v>4.0978659809157653E-3</v>
      </c>
      <c r="R2" s="7">
        <f>$B2 * IFERROR(VLOOKUP("buildings|SO2|Premature mortality", US_national_yearly!$D:$AM, 26, FALSE) / VLOOKUP("buildings|SO2|Premature mortality", US_national_yearly!$D:$AM, 10, FALSE), 1)</f>
        <v>4.1398480501817249E-3</v>
      </c>
      <c r="S2" s="7">
        <f>$B2 * IFERROR(VLOOKUP("buildings|SO2|Premature mortality", US_national_yearly!$D:$AM, 27, FALSE) / VLOOKUP("buildings|SO2|Premature mortality", US_national_yearly!$D:$AM, 10, FALSE), 1)</f>
        <v>4.1623173328673184E-3</v>
      </c>
      <c r="T2" s="7">
        <f>$B2 * IFERROR(VLOOKUP("buildings|SO2|Premature mortality", US_national_yearly!$D:$AM, 28, FALSE) / VLOOKUP("buildings|SO2|Premature mortality", US_national_yearly!$D:$AM, 10, FALSE), 1)</f>
        <v>4.1847866155529127E-3</v>
      </c>
      <c r="U2" s="7">
        <f>$B2 * IFERROR(VLOOKUP("buildings|SO2|Premature mortality", US_national_yearly!$D:$AM, 29, FALSE) / VLOOKUP("buildings|SO2|Premature mortality", US_national_yearly!$D:$AM, 10, FALSE), 1)</f>
        <v>4.2072558982385062E-3</v>
      </c>
      <c r="V2" s="7">
        <f>$B2 * IFERROR(VLOOKUP("buildings|SO2|Premature mortality", US_national_yearly!$D:$AM, 30, FALSE) / VLOOKUP("buildings|SO2|Premature mortality", US_national_yearly!$D:$AM, 10, FALSE), 1)</f>
        <v>4.2297251809240996E-3</v>
      </c>
      <c r="W2" s="7">
        <f>$B2 * IFERROR(VLOOKUP("buildings|SO2|Premature mortality", US_national_yearly!$D:$AM, 31, FALSE) / VLOOKUP("buildings|SO2|Premature mortality", US_national_yearly!$D:$AM, 10, FALSE), 1)</f>
        <v>4.2521944636096931E-3</v>
      </c>
      <c r="X2" s="7">
        <f>$B2 * IFERROR(VLOOKUP("buildings|SO2|Premature mortality", US_national_yearly!$D:$AM, 32, FALSE) / VLOOKUP("buildings|SO2|Premature mortality", US_national_yearly!$D:$AM, 10, FALSE), 1)</f>
        <v>4.2567347182282883E-3</v>
      </c>
      <c r="Y2" s="7">
        <f>$B2 * IFERROR(VLOOKUP("buildings|SO2|Premature mortality", US_national_yearly!$D:$AM, 33, FALSE) / VLOOKUP("buildings|SO2|Premature mortality", US_national_yearly!$D:$AM, 10, FALSE), 1)</f>
        <v>4.2612749728468827E-3</v>
      </c>
      <c r="Z2" s="7">
        <f>$B2 * IFERROR(VLOOKUP("buildings|SO2|Premature mortality", US_national_yearly!$D:$AM, 34, FALSE) / VLOOKUP("buildings|SO2|Premature mortality", US_national_yearly!$D:$AM, 10, FALSE), 1)</f>
        <v>4.2658152274654771E-3</v>
      </c>
      <c r="AA2" s="7">
        <f>$B2 * IFERROR(VLOOKUP("buildings|SO2|Premature mortality", US_national_yearly!$D:$AM, 35, FALSE) / VLOOKUP("buildings|SO2|Premature mortality", US_national_yearly!$D:$AM, 10, FALSE), 1)</f>
        <v>4.2703554820840723E-3</v>
      </c>
      <c r="AB2" s="7">
        <f>$B2 * IFERROR(VLOOKUP("buildings|SO2|Premature mortality", US_national_yearly!$D:$AM, 36, FALSE) / VLOOKUP("buildings|SO2|Premature mortality", US_national_yearly!$D:$AM, 10, FALSE), 1)</f>
        <v>4.2748957367026675E-3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1.3357218549214387E-5</v>
      </c>
      <c r="C3" s="7">
        <f>$B3 * IFERROR(VLOOKUP("buildings|SO2|Infant mortality", US_national_yearly!$D:$AM, 11, FALSE) / VLOOKUP("buildings|SO2|Infant mortality", US_national_yearly!$D:$AM, 10, FALSE), 1)</f>
        <v>1.3242728389921235E-5</v>
      </c>
      <c r="D3" s="7">
        <f>$B3 * IFERROR(VLOOKUP("buildings|SO2|Infant mortality", US_national_yearly!$D:$AM, 12, FALSE) / VLOOKUP("buildings|SO2|Infant mortality", US_national_yearly!$D:$AM, 10, FALSE), 1)</f>
        <v>1.3128238230628084E-5</v>
      </c>
      <c r="E3" s="7">
        <f>$B3 * IFERROR(VLOOKUP("buildings|SO2|Infant mortality", US_national_yearly!$D:$AM, 13, FALSE) / VLOOKUP("buildings|SO2|Infant mortality", US_national_yearly!$D:$AM, 10, FALSE), 1)</f>
        <v>1.3013748071334935E-5</v>
      </c>
      <c r="F3" s="7">
        <f>$B3 * IFERROR(VLOOKUP("buildings|SO2|Infant mortality", US_national_yearly!$D:$AM, 14, FALSE) / VLOOKUP("buildings|SO2|Infant mortality", US_national_yearly!$D:$AM, 10, FALSE), 1)</f>
        <v>1.2899257912041785E-5</v>
      </c>
      <c r="G3" s="7">
        <f>$B3 * IFERROR(VLOOKUP("buildings|SO2|Infant mortality", US_national_yearly!$D:$AM, 15, FALSE) / VLOOKUP("buildings|SO2|Infant mortality", US_national_yearly!$D:$AM, 10, FALSE), 1)</f>
        <v>8.5903947428292568E-6</v>
      </c>
      <c r="H3" s="7">
        <f>$B3 * IFERROR(VLOOKUP("buildings|SO2|Infant mortality", US_national_yearly!$D:$AM, 16, FALSE) / VLOOKUP("buildings|SO2|Infant mortality", US_national_yearly!$D:$AM, 10, FALSE), 1)</f>
        <v>4.2815315736167277E-6</v>
      </c>
      <c r="I3" s="7">
        <f>$B3 * IFERROR(VLOOKUP("buildings|SO2|Infant mortality", US_national_yearly!$D:$AM, 17, FALSE) / VLOOKUP("buildings|SO2|Infant mortality", US_national_yearly!$D:$AM, 10, FALSE), 1)</f>
        <v>4.2546687717144761E-6</v>
      </c>
      <c r="J3" s="7">
        <f>$B3 * IFERROR(VLOOKUP("buildings|SO2|Infant mortality", US_national_yearly!$D:$AM, 18, FALSE) / VLOOKUP("buildings|SO2|Infant mortality", US_national_yearly!$D:$AM, 10, FALSE), 1)</f>
        <v>4.2278059698122236E-6</v>
      </c>
      <c r="K3" s="7">
        <f>$B3 * IFERROR(VLOOKUP("buildings|SO2|Infant mortality", US_national_yearly!$D:$AM, 19, FALSE) / VLOOKUP("buildings|SO2|Infant mortality", US_national_yearly!$D:$AM, 10, FALSE), 1)</f>
        <v>4.200943167909972E-6</v>
      </c>
      <c r="L3" s="7">
        <f>$B3 * IFERROR(VLOOKUP("buildings|SO2|Infant mortality", US_national_yearly!$D:$AM, 20, FALSE) / VLOOKUP("buildings|SO2|Infant mortality", US_national_yearly!$D:$AM, 10, FALSE), 1)</f>
        <v>4.1740803660077196E-6</v>
      </c>
      <c r="M3" s="7">
        <f>$B3 * IFERROR(VLOOKUP("buildings|SO2|Infant mortality", US_national_yearly!$D:$AM, 21, FALSE) / VLOOKUP("buildings|SO2|Infant mortality", US_national_yearly!$D:$AM, 10, FALSE), 1)</f>
        <v>4.1472175641054671E-6</v>
      </c>
      <c r="N3" s="7">
        <f>$B3 * IFERROR(VLOOKUP("buildings|SO2|Infant mortality", US_national_yearly!$D:$AM, 22, FALSE) / VLOOKUP("buildings|SO2|Infant mortality", US_national_yearly!$D:$AM, 10, FALSE), 1)</f>
        <v>4.1303774410025658E-6</v>
      </c>
      <c r="O3" s="7">
        <f>$B3 * IFERROR(VLOOKUP("buildings|SO2|Infant mortality", US_national_yearly!$D:$AM, 23, FALSE) / VLOOKUP("buildings|SO2|Infant mortality", US_national_yearly!$D:$AM, 10, FALSE), 1)</f>
        <v>4.1135373178996644E-6</v>
      </c>
      <c r="P3" s="7">
        <f>$B3 * IFERROR(VLOOKUP("buildings|SO2|Infant mortality", US_national_yearly!$D:$AM, 24, FALSE) / VLOOKUP("buildings|SO2|Infant mortality", US_national_yearly!$D:$AM, 10, FALSE), 1)</f>
        <v>4.0966971947967631E-6</v>
      </c>
      <c r="Q3" s="7">
        <f>$B3 * IFERROR(VLOOKUP("buildings|SO2|Infant mortality", US_national_yearly!$D:$AM, 25, FALSE) / VLOOKUP("buildings|SO2|Infant mortality", US_national_yearly!$D:$AM, 10, FALSE), 1)</f>
        <v>4.0798570716938618E-6</v>
      </c>
      <c r="R3" s="7">
        <f>$B3 * IFERROR(VLOOKUP("buildings|SO2|Infant mortality", US_national_yearly!$D:$AM, 26, FALSE) / VLOOKUP("buildings|SO2|Infant mortality", US_national_yearly!$D:$AM, 10, FALSE), 1)</f>
        <v>4.0630169485909605E-6</v>
      </c>
      <c r="S3" s="7">
        <f>$B3 * IFERROR(VLOOKUP("buildings|SO2|Infant mortality", US_national_yearly!$D:$AM, 27, FALSE) / VLOOKUP("buildings|SO2|Infant mortality", US_national_yearly!$D:$AM, 10, FALSE), 1)</f>
        <v>4.0418710928147474E-6</v>
      </c>
      <c r="T3" s="7">
        <f>$B3 * IFERROR(VLOOKUP("buildings|SO2|Infant mortality", US_national_yearly!$D:$AM, 28, FALSE) / VLOOKUP("buildings|SO2|Infant mortality", US_national_yearly!$D:$AM, 10, FALSE), 1)</f>
        <v>4.0207252370385335E-6</v>
      </c>
      <c r="U3" s="7">
        <f>$B3 * IFERROR(VLOOKUP("buildings|SO2|Infant mortality", US_national_yearly!$D:$AM, 29, FALSE) / VLOOKUP("buildings|SO2|Infant mortality", US_national_yearly!$D:$AM, 10, FALSE), 1)</f>
        <v>3.9995793812623196E-6</v>
      </c>
      <c r="V3" s="7">
        <f>$B3 * IFERROR(VLOOKUP("buildings|SO2|Infant mortality", US_national_yearly!$D:$AM, 30, FALSE) / VLOOKUP("buildings|SO2|Infant mortality", US_national_yearly!$D:$AM, 10, FALSE), 1)</f>
        <v>3.9784335254861057E-6</v>
      </c>
      <c r="W3" s="7">
        <f>$B3 * IFERROR(VLOOKUP("buildings|SO2|Infant mortality", US_national_yearly!$D:$AM, 31, FALSE) / VLOOKUP("buildings|SO2|Infant mortality", US_national_yearly!$D:$AM, 10, FALSE), 1)</f>
        <v>3.9572876697098927E-6</v>
      </c>
      <c r="X3" s="7">
        <f>$B3 * IFERROR(VLOOKUP("buildings|SO2|Infant mortality", US_national_yearly!$D:$AM, 32, FALSE) / VLOOKUP("buildings|SO2|Infant mortality", US_national_yearly!$D:$AM, 10, FALSE), 1)</f>
        <v>3.9341930446080402E-6</v>
      </c>
      <c r="Y3" s="7">
        <f>$B3 * IFERROR(VLOOKUP("buildings|SO2|Infant mortality", US_national_yearly!$D:$AM, 33, FALSE) / VLOOKUP("buildings|SO2|Infant mortality", US_national_yearly!$D:$AM, 10, FALSE), 1)</f>
        <v>3.9110984195061877E-6</v>
      </c>
      <c r="Z3" s="7">
        <f>$B3 * IFERROR(VLOOKUP("buildings|SO2|Infant mortality", US_national_yearly!$D:$AM, 34, FALSE) / VLOOKUP("buildings|SO2|Infant mortality", US_national_yearly!$D:$AM, 10, FALSE), 1)</f>
        <v>3.8880037944043361E-6</v>
      </c>
      <c r="AA3" s="7">
        <f>$B3 * IFERROR(VLOOKUP("buildings|SO2|Infant mortality", US_national_yearly!$D:$AM, 35, FALSE) / VLOOKUP("buildings|SO2|Infant mortality", US_national_yearly!$D:$AM, 10, FALSE), 1)</f>
        <v>3.8649091693024837E-6</v>
      </c>
      <c r="AB3" s="7">
        <f>$B3 * IFERROR(VLOOKUP("buildings|SO2|Infant mortality", US_national_yearly!$D:$AM, 36, FALSE) / VLOOKUP("buildings|SO2|Infant mortality", US_national_yearly!$D:$AM, 10, FALSE), 1)</f>
        <v>3.8418145442006321E-6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9.5631149447514587E-3</v>
      </c>
      <c r="C6" s="7">
        <f>$B6 * IFERROR(VLOOKUP("buildings|SO2|Asthma symptoms cough", US_national_yearly!$D:$AM, 11, FALSE) / VLOOKUP("buildings|SO2|Asthma symptoms cough", US_national_yearly!$D:$AM, 10, FALSE), 1)</f>
        <v>9.5631149447514587E-3</v>
      </c>
      <c r="D6" s="7">
        <f>$B6 * IFERROR(VLOOKUP("buildings|SO2|Asthma symptoms cough", US_national_yearly!$D:$AM, 12, FALSE) / VLOOKUP("buildings|SO2|Asthma symptoms cough", US_national_yearly!$D:$AM, 10, FALSE), 1)</f>
        <v>9.5631149447514587E-3</v>
      </c>
      <c r="E6" s="7">
        <f>$B6 * IFERROR(VLOOKUP("buildings|SO2|Asthma symptoms cough", US_national_yearly!$D:$AM, 13, FALSE) / VLOOKUP("buildings|SO2|Asthma symptoms cough", US_national_yearly!$D:$AM, 10, FALSE), 1)</f>
        <v>9.5631149447514587E-3</v>
      </c>
      <c r="F6" s="7">
        <f>$B6 * IFERROR(VLOOKUP("buildings|SO2|Asthma symptoms cough", US_national_yearly!$D:$AM, 14, FALSE) / VLOOKUP("buildings|SO2|Asthma symptoms cough", US_national_yearly!$D:$AM, 10, FALSE), 1)</f>
        <v>9.5631149447514587E-3</v>
      </c>
      <c r="G6" s="7">
        <f>$B6 * IFERROR(VLOOKUP("buildings|SO2|Asthma symptoms cough", US_national_yearly!$D:$AM, 15, FALSE) / VLOOKUP("buildings|SO2|Asthma symptoms cough", US_national_yearly!$D:$AM, 10, FALSE), 1)</f>
        <v>9.5631149447514587E-3</v>
      </c>
      <c r="H6" s="7">
        <f>$B6 * IFERROR(VLOOKUP("buildings|SO2|Asthma symptoms cough", US_national_yearly!$D:$AM, 16, FALSE) / VLOOKUP("buildings|SO2|Asthma symptoms cough", US_national_yearly!$D:$AM, 10, FALSE), 1)</f>
        <v>9.5631149447514587E-3</v>
      </c>
      <c r="I6" s="7">
        <f>$B6 * IFERROR(VLOOKUP("buildings|SO2|Asthma symptoms cough", US_national_yearly!$D:$AM, 17, FALSE) / VLOOKUP("buildings|SO2|Asthma symptoms cough", US_national_yearly!$D:$AM, 10, FALSE), 1)</f>
        <v>9.5631149447514587E-3</v>
      </c>
      <c r="J6" s="7">
        <f>$B6 * IFERROR(VLOOKUP("buildings|SO2|Asthma symptoms cough", US_national_yearly!$D:$AM, 18, FALSE) / VLOOKUP("buildings|SO2|Asthma symptoms cough", US_national_yearly!$D:$AM, 10, FALSE), 1)</f>
        <v>9.5631149447514587E-3</v>
      </c>
      <c r="K6" s="7">
        <f>$B6 * IFERROR(VLOOKUP("buildings|SO2|Asthma symptoms cough", US_national_yearly!$D:$AM, 19, FALSE) / VLOOKUP("buildings|SO2|Asthma symptoms cough", US_national_yearly!$D:$AM, 10, FALSE), 1)</f>
        <v>9.5631149447514587E-3</v>
      </c>
      <c r="L6" s="7">
        <f>$B6 * IFERROR(VLOOKUP("buildings|SO2|Asthma symptoms cough", US_national_yearly!$D:$AM, 20, FALSE) / VLOOKUP("buildings|SO2|Asthma symptoms cough", US_national_yearly!$D:$AM, 10, FALSE), 1)</f>
        <v>9.5631149447514587E-3</v>
      </c>
      <c r="M6" s="7">
        <f>$B6 * IFERROR(VLOOKUP("buildings|SO2|Asthma symptoms cough", US_national_yearly!$D:$AM, 21, FALSE) / VLOOKUP("buildings|SO2|Asthma symptoms cough", US_national_yearly!$D:$AM, 10, FALSE), 1)</f>
        <v>9.5631149447514587E-3</v>
      </c>
      <c r="N6" s="7">
        <f>$B6 * IFERROR(VLOOKUP("buildings|SO2|Asthma symptoms cough", US_national_yearly!$D:$AM, 22, FALSE) / VLOOKUP("buildings|SO2|Asthma symptoms cough", US_national_yearly!$D:$AM, 10, FALSE), 1)</f>
        <v>9.5631149447514587E-3</v>
      </c>
      <c r="O6" s="7">
        <f>$B6 * IFERROR(VLOOKUP("buildings|SO2|Asthma symptoms cough", US_national_yearly!$D:$AM, 23, FALSE) / VLOOKUP("buildings|SO2|Asthma symptoms cough", US_national_yearly!$D:$AM, 10, FALSE), 1)</f>
        <v>9.5631149447514587E-3</v>
      </c>
      <c r="P6" s="7">
        <f>$B6 * IFERROR(VLOOKUP("buildings|SO2|Asthma symptoms cough", US_national_yearly!$D:$AM, 24, FALSE) / VLOOKUP("buildings|SO2|Asthma symptoms cough", US_national_yearly!$D:$AM, 10, FALSE), 1)</f>
        <v>9.5631149447514587E-3</v>
      </c>
      <c r="Q6" s="7">
        <f>$B6 * IFERROR(VLOOKUP("buildings|SO2|Asthma symptoms cough", US_national_yearly!$D:$AM, 25, FALSE) / VLOOKUP("buildings|SO2|Asthma symptoms cough", US_national_yearly!$D:$AM, 10, FALSE), 1)</f>
        <v>9.5631149447514587E-3</v>
      </c>
      <c r="R6" s="7">
        <f>$B6 * IFERROR(VLOOKUP("buildings|SO2|Asthma symptoms cough", US_national_yearly!$D:$AM, 26, FALSE) / VLOOKUP("buildings|SO2|Asthma symptoms cough", US_national_yearly!$D:$AM, 10, FALSE), 1)</f>
        <v>9.5631149447514587E-3</v>
      </c>
      <c r="S6" s="7">
        <f>$B6 * IFERROR(VLOOKUP("buildings|SO2|Asthma symptoms cough", US_national_yearly!$D:$AM, 27, FALSE) / VLOOKUP("buildings|SO2|Asthma symptoms cough", US_national_yearly!$D:$AM, 10, FALSE), 1)</f>
        <v>9.5631149447514587E-3</v>
      </c>
      <c r="T6" s="7">
        <f>$B6 * IFERROR(VLOOKUP("buildings|SO2|Asthma symptoms cough", US_national_yearly!$D:$AM, 28, FALSE) / VLOOKUP("buildings|SO2|Asthma symptoms cough", US_national_yearly!$D:$AM, 10, FALSE), 1)</f>
        <v>9.5631149447514587E-3</v>
      </c>
      <c r="U6" s="7">
        <f>$B6 * IFERROR(VLOOKUP("buildings|SO2|Asthma symptoms cough", US_national_yearly!$D:$AM, 29, FALSE) / VLOOKUP("buildings|SO2|Asthma symptoms cough", US_national_yearly!$D:$AM, 10, FALSE), 1)</f>
        <v>9.5631149447514587E-3</v>
      </c>
      <c r="V6" s="7">
        <f>$B6 * IFERROR(VLOOKUP("buildings|SO2|Asthma symptoms cough", US_national_yearly!$D:$AM, 30, FALSE) / VLOOKUP("buildings|SO2|Asthma symptoms cough", US_national_yearly!$D:$AM, 10, FALSE), 1)</f>
        <v>9.5631149447514587E-3</v>
      </c>
      <c r="W6" s="7">
        <f>$B6 * IFERROR(VLOOKUP("buildings|SO2|Asthma symptoms cough", US_national_yearly!$D:$AM, 31, FALSE) / VLOOKUP("buildings|SO2|Asthma symptoms cough", US_national_yearly!$D:$AM, 10, FALSE), 1)</f>
        <v>9.5631149447514587E-3</v>
      </c>
      <c r="X6" s="7">
        <f>$B6 * IFERROR(VLOOKUP("buildings|SO2|Asthma symptoms cough", US_national_yearly!$D:$AM, 32, FALSE) / VLOOKUP("buildings|SO2|Asthma symptoms cough", US_national_yearly!$D:$AM, 10, FALSE), 1)</f>
        <v>9.5631149447514587E-3</v>
      </c>
      <c r="Y6" s="7">
        <f>$B6 * IFERROR(VLOOKUP("buildings|SO2|Asthma symptoms cough", US_national_yearly!$D:$AM, 33, FALSE) / VLOOKUP("buildings|SO2|Asthma symptoms cough", US_national_yearly!$D:$AM, 10, FALSE), 1)</f>
        <v>9.5631149447514587E-3</v>
      </c>
      <c r="Z6" s="7">
        <f>$B6 * IFERROR(VLOOKUP("buildings|SO2|Asthma symptoms cough", US_national_yearly!$D:$AM, 34, FALSE) / VLOOKUP("buildings|SO2|Asthma symptoms cough", US_national_yearly!$D:$AM, 10, FALSE), 1)</f>
        <v>9.5631149447514587E-3</v>
      </c>
      <c r="AA6" s="7">
        <f>$B6 * IFERROR(VLOOKUP("buildings|SO2|Asthma symptoms cough", US_national_yearly!$D:$AM, 35, FALSE) / VLOOKUP("buildings|SO2|Asthma symptoms cough", US_national_yearly!$D:$AM, 10, FALSE), 1)</f>
        <v>9.5631149447514587E-3</v>
      </c>
      <c r="AB6" s="7">
        <f>$B6 * IFERROR(VLOOKUP("buildings|SO2|Asthma symptoms cough", US_national_yearly!$D:$AM, 36, FALSE) / VLOOKUP("buildings|SO2|Asthma symptoms cough", US_national_yearly!$D:$AM, 10, FALSE), 1)</f>
        <v>9.5631149447514587E-3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1.2878072275453503E-2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1.2878072275453503E-2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1.2878072275453503E-2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1.2878072275453503E-2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1.2878072275453503E-2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1.2878072275453503E-2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1.2878072275453503E-2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1.2878072275453503E-2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1.2878072275453503E-2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1.2878072275453503E-2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1.2878072275453503E-2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1.2878072275453503E-2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1.2878072275453503E-2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1.2878072275453503E-2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1.2878072275453503E-2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1.2878072275453503E-2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1.2878072275453503E-2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1.2878072275453503E-2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1.2878072275453503E-2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1.2878072275453503E-2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1.2878072275453503E-2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1.2878072275453503E-2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1.2878072275453503E-2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1.2878072275453503E-2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1.2878072275453503E-2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1.2878072275453503E-2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1.2878072275453503E-2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1.9675688993105858E-2</v>
      </c>
      <c r="C8" s="7">
        <f>$B8 * IFERROR(VLOOKUP("buildings|SO2|Asthma symptoms wheeze", US_national_yearly!$D:$AM, 11, FALSE) / VLOOKUP("buildings|SO2|Asthma symptoms wheeze", US_national_yearly!$D:$AM, 10, FALSE), 1)</f>
        <v>1.9675688993105858E-2</v>
      </c>
      <c r="D8" s="7">
        <f>$B8 * IFERROR(VLOOKUP("buildings|SO2|Asthma symptoms wheeze", US_national_yearly!$D:$AM, 12, FALSE) / VLOOKUP("buildings|SO2|Asthma symptoms wheeze", US_national_yearly!$D:$AM, 10, FALSE), 1)</f>
        <v>1.9675688993105858E-2</v>
      </c>
      <c r="E8" s="7">
        <f>$B8 * IFERROR(VLOOKUP("buildings|SO2|Asthma symptoms wheeze", US_national_yearly!$D:$AM, 13, FALSE) / VLOOKUP("buildings|SO2|Asthma symptoms wheeze", US_national_yearly!$D:$AM, 10, FALSE), 1)</f>
        <v>1.9675688993105858E-2</v>
      </c>
      <c r="F8" s="7">
        <f>$B8 * IFERROR(VLOOKUP("buildings|SO2|Asthma symptoms wheeze", US_national_yearly!$D:$AM, 14, FALSE) / VLOOKUP("buildings|SO2|Asthma symptoms wheeze", US_national_yearly!$D:$AM, 10, FALSE), 1)</f>
        <v>1.9675688993105858E-2</v>
      </c>
      <c r="G8" s="7">
        <f>$B8 * IFERROR(VLOOKUP("buildings|SO2|Asthma symptoms wheeze", US_national_yearly!$D:$AM, 15, FALSE) / VLOOKUP("buildings|SO2|Asthma symptoms wheeze", US_national_yearly!$D:$AM, 10, FALSE), 1)</f>
        <v>1.9675688993105858E-2</v>
      </c>
      <c r="H8" s="7">
        <f>$B8 * IFERROR(VLOOKUP("buildings|SO2|Asthma symptoms wheeze", US_national_yearly!$D:$AM, 16, FALSE) / VLOOKUP("buildings|SO2|Asthma symptoms wheeze", US_national_yearly!$D:$AM, 10, FALSE), 1)</f>
        <v>1.9675688993105858E-2</v>
      </c>
      <c r="I8" s="7">
        <f>$B8 * IFERROR(VLOOKUP("buildings|SO2|Asthma symptoms wheeze", US_national_yearly!$D:$AM, 17, FALSE) / VLOOKUP("buildings|SO2|Asthma symptoms wheeze", US_national_yearly!$D:$AM, 10, FALSE), 1)</f>
        <v>1.9675688993105858E-2</v>
      </c>
      <c r="J8" s="7">
        <f>$B8 * IFERROR(VLOOKUP("buildings|SO2|Asthma symptoms wheeze", US_national_yearly!$D:$AM, 18, FALSE) / VLOOKUP("buildings|SO2|Asthma symptoms wheeze", US_national_yearly!$D:$AM, 10, FALSE), 1)</f>
        <v>1.9675688993105858E-2</v>
      </c>
      <c r="K8" s="7">
        <f>$B8 * IFERROR(VLOOKUP("buildings|SO2|Asthma symptoms wheeze", US_national_yearly!$D:$AM, 19, FALSE) / VLOOKUP("buildings|SO2|Asthma symptoms wheeze", US_national_yearly!$D:$AM, 10, FALSE), 1)</f>
        <v>1.9675688993105858E-2</v>
      </c>
      <c r="L8" s="7">
        <f>$B8 * IFERROR(VLOOKUP("buildings|SO2|Asthma symptoms wheeze", US_national_yearly!$D:$AM, 20, FALSE) / VLOOKUP("buildings|SO2|Asthma symptoms wheeze", US_national_yearly!$D:$AM, 10, FALSE), 1)</f>
        <v>1.9675688993105858E-2</v>
      </c>
      <c r="M8" s="7">
        <f>$B8 * IFERROR(VLOOKUP("buildings|SO2|Asthma symptoms wheeze", US_national_yearly!$D:$AM, 21, FALSE) / VLOOKUP("buildings|SO2|Asthma symptoms wheeze", US_national_yearly!$D:$AM, 10, FALSE), 1)</f>
        <v>1.9675688993105858E-2</v>
      </c>
      <c r="N8" s="7">
        <f>$B8 * IFERROR(VLOOKUP("buildings|SO2|Asthma symptoms wheeze", US_national_yearly!$D:$AM, 22, FALSE) / VLOOKUP("buildings|SO2|Asthma symptoms wheeze", US_national_yearly!$D:$AM, 10, FALSE), 1)</f>
        <v>1.9675688993105858E-2</v>
      </c>
      <c r="O8" s="7">
        <f>$B8 * IFERROR(VLOOKUP("buildings|SO2|Asthma symptoms wheeze", US_national_yearly!$D:$AM, 23, FALSE) / VLOOKUP("buildings|SO2|Asthma symptoms wheeze", US_national_yearly!$D:$AM, 10, FALSE), 1)</f>
        <v>1.9675688993105858E-2</v>
      </c>
      <c r="P8" s="7">
        <f>$B8 * IFERROR(VLOOKUP("buildings|SO2|Asthma symptoms wheeze", US_national_yearly!$D:$AM, 24, FALSE) / VLOOKUP("buildings|SO2|Asthma symptoms wheeze", US_national_yearly!$D:$AM, 10, FALSE), 1)</f>
        <v>1.9675688993105858E-2</v>
      </c>
      <c r="Q8" s="7">
        <f>$B8 * IFERROR(VLOOKUP("buildings|SO2|Asthma symptoms wheeze", US_national_yearly!$D:$AM, 25, FALSE) / VLOOKUP("buildings|SO2|Asthma symptoms wheeze", US_national_yearly!$D:$AM, 10, FALSE), 1)</f>
        <v>1.9675688993105858E-2</v>
      </c>
      <c r="R8" s="7">
        <f>$B8 * IFERROR(VLOOKUP("buildings|SO2|Asthma symptoms wheeze", US_national_yearly!$D:$AM, 26, FALSE) / VLOOKUP("buildings|SO2|Asthma symptoms wheeze", US_national_yearly!$D:$AM, 10, FALSE), 1)</f>
        <v>1.9675688993105858E-2</v>
      </c>
      <c r="S8" s="7">
        <f>$B8 * IFERROR(VLOOKUP("buildings|SO2|Asthma symptoms wheeze", US_national_yearly!$D:$AM, 27, FALSE) / VLOOKUP("buildings|SO2|Asthma symptoms wheeze", US_national_yearly!$D:$AM, 10, FALSE), 1)</f>
        <v>1.9675688993105858E-2</v>
      </c>
      <c r="T8" s="7">
        <f>$B8 * IFERROR(VLOOKUP("buildings|SO2|Asthma symptoms wheeze", US_national_yearly!$D:$AM, 28, FALSE) / VLOOKUP("buildings|SO2|Asthma symptoms wheeze", US_national_yearly!$D:$AM, 10, FALSE), 1)</f>
        <v>1.9675688993105858E-2</v>
      </c>
      <c r="U8" s="7">
        <f>$B8 * IFERROR(VLOOKUP("buildings|SO2|Asthma symptoms wheeze", US_national_yearly!$D:$AM, 29, FALSE) / VLOOKUP("buildings|SO2|Asthma symptoms wheeze", US_national_yearly!$D:$AM, 10, FALSE), 1)</f>
        <v>1.9675688993105858E-2</v>
      </c>
      <c r="V8" s="7">
        <f>$B8 * IFERROR(VLOOKUP("buildings|SO2|Asthma symptoms wheeze", US_national_yearly!$D:$AM, 30, FALSE) / VLOOKUP("buildings|SO2|Asthma symptoms wheeze", US_national_yearly!$D:$AM, 10, FALSE), 1)</f>
        <v>1.9675688993105858E-2</v>
      </c>
      <c r="W8" s="7">
        <f>$B8 * IFERROR(VLOOKUP("buildings|SO2|Asthma symptoms wheeze", US_national_yearly!$D:$AM, 31, FALSE) / VLOOKUP("buildings|SO2|Asthma symptoms wheeze", US_national_yearly!$D:$AM, 10, FALSE), 1)</f>
        <v>1.9675688993105858E-2</v>
      </c>
      <c r="X8" s="7">
        <f>$B8 * IFERROR(VLOOKUP("buildings|SO2|Asthma symptoms wheeze", US_national_yearly!$D:$AM, 32, FALSE) / VLOOKUP("buildings|SO2|Asthma symptoms wheeze", US_national_yearly!$D:$AM, 10, FALSE), 1)</f>
        <v>1.9675688993105858E-2</v>
      </c>
      <c r="Y8" s="7">
        <f>$B8 * IFERROR(VLOOKUP("buildings|SO2|Asthma symptoms wheeze", US_national_yearly!$D:$AM, 33, FALSE) / VLOOKUP("buildings|SO2|Asthma symptoms wheeze", US_national_yearly!$D:$AM, 10, FALSE), 1)</f>
        <v>1.9675688993105858E-2</v>
      </c>
      <c r="Z8" s="7">
        <f>$B8 * IFERROR(VLOOKUP("buildings|SO2|Asthma symptoms wheeze", US_national_yearly!$D:$AM, 34, FALSE) / VLOOKUP("buildings|SO2|Asthma symptoms wheeze", US_national_yearly!$D:$AM, 10, FALSE), 1)</f>
        <v>1.9675688993105858E-2</v>
      </c>
      <c r="AA8" s="7">
        <f>$B8 * IFERROR(VLOOKUP("buildings|SO2|Asthma symptoms wheeze", US_national_yearly!$D:$AM, 35, FALSE) / VLOOKUP("buildings|SO2|Asthma symptoms wheeze", US_national_yearly!$D:$AM, 10, FALSE), 1)</f>
        <v>1.9675688993105858E-2</v>
      </c>
      <c r="AB8" s="7">
        <f>$B8 * IFERROR(VLOOKUP("buildings|SO2|Asthma symptoms wheeze", US_national_yearly!$D:$AM, 36, FALSE) / VLOOKUP("buildings|SO2|Asthma symptoms wheeze", US_national_yearly!$D:$AM, 10, FALSE), 1)</f>
        <v>1.9675688993105858E-2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6.6754719575928205E-4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6.7148998518156984E-4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6.7543277460385763E-4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6.7937556402614542E-4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6.833183534484331E-4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6.8761549718245963E-4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6.9191264091648605E-4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6.9614150441255529E-4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7.0037036790862475E-4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7.04599231404694E-4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7.0882809490076324E-4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7.130569583968327E-4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7.1614472879819968E-4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7.1923249919956665E-4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7.2232026960093363E-4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7.2540804000230071E-4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7.2849581040366769E-4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7.3144003572650626E-4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7.3438426104934494E-4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7.3732848637218351E-4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7.4027271169502208E-4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7.4321693701786076E-4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7.4601471926340256E-4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7.4881250150894447E-4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7.5161028375448627E-4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7.5440806600002796E-4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7.5720584824556987E-4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4.3354436362951698E-3</v>
      </c>
      <c r="C13" s="7">
        <f>$B13 * IFERROR(VLOOKUP("buildings|SO2|Non-fatal heart attacks", US_national_yearly!$D:$AM, 11, FALSE) / VLOOKUP("buildings|SO2|Non-fatal heart attacks", US_national_yearly!$D:$AM, 10, FALSE), 1)</f>
        <v>4.4627576625153095E-3</v>
      </c>
      <c r="D13" s="7">
        <f>$B13 * IFERROR(VLOOKUP("buildings|SO2|Non-fatal heart attacks", US_national_yearly!$D:$AM, 12, FALSE) / VLOOKUP("buildings|SO2|Non-fatal heart attacks", US_national_yearly!$D:$AM, 10, FALSE), 1)</f>
        <v>4.5900716887354483E-3</v>
      </c>
      <c r="E13" s="7">
        <f>$B13 * IFERROR(VLOOKUP("buildings|SO2|Non-fatal heart attacks", US_national_yearly!$D:$AM, 13, FALSE) / VLOOKUP("buildings|SO2|Non-fatal heart attacks", US_national_yearly!$D:$AM, 10, FALSE), 1)</f>
        <v>4.7173857149555871E-3</v>
      </c>
      <c r="F13" s="7">
        <f>$B13 * IFERROR(VLOOKUP("buildings|SO2|Non-fatal heart attacks", US_national_yearly!$D:$AM, 14, FALSE) / VLOOKUP("buildings|SO2|Non-fatal heart attacks", US_national_yearly!$D:$AM, 10, FALSE), 1)</f>
        <v>4.8446997411757267E-3</v>
      </c>
      <c r="G13" s="7">
        <f>$B13 * IFERROR(VLOOKUP("buildings|SO2|Non-fatal heart attacks", US_national_yearly!$D:$AM, 15, FALSE) / VLOOKUP("buildings|SO2|Non-fatal heart attacks", US_national_yearly!$D:$AM, 10, FALSE), 1)</f>
        <v>4.9647774011446575E-3</v>
      </c>
      <c r="H13" s="7">
        <f>$B13 * IFERROR(VLOOKUP("buildings|SO2|Non-fatal heart attacks", US_national_yearly!$D:$AM, 16, FALSE) / VLOOKUP("buildings|SO2|Non-fatal heart attacks", US_national_yearly!$D:$AM, 10, FALSE), 1)</f>
        <v>5.08485506111359E-3</v>
      </c>
      <c r="I13" s="7">
        <f>$B13 * IFERROR(VLOOKUP("buildings|SO2|Non-fatal heart attacks", US_national_yearly!$D:$AM, 17, FALSE) / VLOOKUP("buildings|SO2|Non-fatal heart attacks", US_national_yearly!$D:$AM, 10, FALSE), 1)</f>
        <v>5.181509618188627E-3</v>
      </c>
      <c r="J13" s="7">
        <f>$B13 * IFERROR(VLOOKUP("buildings|SO2|Non-fatal heart attacks", US_national_yearly!$D:$AM, 18, FALSE) / VLOOKUP("buildings|SO2|Non-fatal heart attacks", US_national_yearly!$D:$AM, 10, FALSE), 1)</f>
        <v>5.2781641752636648E-3</v>
      </c>
      <c r="K13" s="7">
        <f>$B13 * IFERROR(VLOOKUP("buildings|SO2|Non-fatal heart attacks", US_national_yearly!$D:$AM, 19, FALSE) / VLOOKUP("buildings|SO2|Non-fatal heart attacks", US_national_yearly!$D:$AM, 10, FALSE), 1)</f>
        <v>5.3748187323387018E-3</v>
      </c>
      <c r="L13" s="7">
        <f>$B13 * IFERROR(VLOOKUP("buildings|SO2|Non-fatal heart attacks", US_national_yearly!$D:$AM, 20, FALSE) / VLOOKUP("buildings|SO2|Non-fatal heart attacks", US_national_yearly!$D:$AM, 10, FALSE), 1)</f>
        <v>5.4714732894137405E-3</v>
      </c>
      <c r="M13" s="7">
        <f>$B13 * IFERROR(VLOOKUP("buildings|SO2|Non-fatal heart attacks", US_national_yearly!$D:$AM, 21, FALSE) / VLOOKUP("buildings|SO2|Non-fatal heart attacks", US_national_yearly!$D:$AM, 10, FALSE), 1)</f>
        <v>5.5681278464887783E-3</v>
      </c>
      <c r="N13" s="7">
        <f>$B13 * IFERROR(VLOOKUP("buildings|SO2|Non-fatal heart attacks", US_national_yearly!$D:$AM, 22, FALSE) / VLOOKUP("buildings|SO2|Non-fatal heart attacks", US_national_yearly!$D:$AM, 10, FALSE), 1)</f>
        <v>5.6308611470983413E-3</v>
      </c>
      <c r="O13" s="7">
        <f>$B13 * IFERROR(VLOOKUP("buildings|SO2|Non-fatal heart attacks", US_national_yearly!$D:$AM, 23, FALSE) / VLOOKUP("buildings|SO2|Non-fatal heart attacks", US_national_yearly!$D:$AM, 10, FALSE), 1)</f>
        <v>5.6935944477079061E-3</v>
      </c>
      <c r="P13" s="7">
        <f>$B13 * IFERROR(VLOOKUP("buildings|SO2|Non-fatal heart attacks", US_national_yearly!$D:$AM, 24, FALSE) / VLOOKUP("buildings|SO2|Non-fatal heart attacks", US_national_yearly!$D:$AM, 10, FALSE), 1)</f>
        <v>5.7563277483174691E-3</v>
      </c>
      <c r="Q13" s="7">
        <f>$B13 * IFERROR(VLOOKUP("buildings|SO2|Non-fatal heart attacks", US_national_yearly!$D:$AM, 25, FALSE) / VLOOKUP("buildings|SO2|Non-fatal heart attacks", US_national_yearly!$D:$AM, 10, FALSE), 1)</f>
        <v>5.8190610489270321E-3</v>
      </c>
      <c r="R13" s="7">
        <f>$B13 * IFERROR(VLOOKUP("buildings|SO2|Non-fatal heart attacks", US_national_yearly!$D:$AM, 26, FALSE) / VLOOKUP("buildings|SO2|Non-fatal heart attacks", US_national_yearly!$D:$AM, 10, FALSE), 1)</f>
        <v>5.8817943495365959E-3</v>
      </c>
      <c r="S13" s="7">
        <f>$B13 * IFERROR(VLOOKUP("buildings|SO2|Non-fatal heart attacks", US_national_yearly!$D:$AM, 27, FALSE) / VLOOKUP("buildings|SO2|Non-fatal heart attacks", US_national_yearly!$D:$AM, 10, FALSE), 1)</f>
        <v>5.9145535763968585E-3</v>
      </c>
      <c r="T13" s="7">
        <f>$B13 * IFERROR(VLOOKUP("buildings|SO2|Non-fatal heart attacks", US_national_yearly!$D:$AM, 28, FALSE) / VLOOKUP("buildings|SO2|Non-fatal heart attacks", US_national_yearly!$D:$AM, 10, FALSE), 1)</f>
        <v>5.947312803257122E-3</v>
      </c>
      <c r="U13" s="7">
        <f>$B13 * IFERROR(VLOOKUP("buildings|SO2|Non-fatal heart attacks", US_national_yearly!$D:$AM, 29, FALSE) / VLOOKUP("buildings|SO2|Non-fatal heart attacks", US_national_yearly!$D:$AM, 10, FALSE), 1)</f>
        <v>5.9800720301173829E-3</v>
      </c>
      <c r="V13" s="7">
        <f>$B13 * IFERROR(VLOOKUP("buildings|SO2|Non-fatal heart attacks", US_national_yearly!$D:$AM, 30, FALSE) / VLOOKUP("buildings|SO2|Non-fatal heart attacks", US_national_yearly!$D:$AM, 10, FALSE), 1)</f>
        <v>6.0128312569776455E-3</v>
      </c>
      <c r="W13" s="7">
        <f>$B13 * IFERROR(VLOOKUP("buildings|SO2|Non-fatal heart attacks", US_national_yearly!$D:$AM, 31, FALSE) / VLOOKUP("buildings|SO2|Non-fatal heart attacks", US_national_yearly!$D:$AM, 10, FALSE), 1)</f>
        <v>6.0455904838379072E-3</v>
      </c>
      <c r="X13" s="7">
        <f>$B13 * IFERROR(VLOOKUP("buildings|SO2|Non-fatal heart attacks", US_national_yearly!$D:$AM, 32, FALSE) / VLOOKUP("buildings|SO2|Non-fatal heart attacks", US_national_yearly!$D:$AM, 10, FALSE), 1)</f>
        <v>6.0703326576205729E-3</v>
      </c>
      <c r="Y13" s="7">
        <f>$B13 * IFERROR(VLOOKUP("buildings|SO2|Non-fatal heart attacks", US_national_yearly!$D:$AM, 33, FALSE) / VLOOKUP("buildings|SO2|Non-fatal heart attacks", US_national_yearly!$D:$AM, 10, FALSE), 1)</f>
        <v>6.0950748314032386E-3</v>
      </c>
      <c r="Z13" s="7">
        <f>$B13 * IFERROR(VLOOKUP("buildings|SO2|Non-fatal heart attacks", US_national_yearly!$D:$AM, 34, FALSE) / VLOOKUP("buildings|SO2|Non-fatal heart attacks", US_national_yearly!$D:$AM, 10, FALSE), 1)</f>
        <v>6.1198170051859025E-3</v>
      </c>
      <c r="AA13" s="7">
        <f>$B13 * IFERROR(VLOOKUP("buildings|SO2|Non-fatal heart attacks", US_national_yearly!$D:$AM, 35, FALSE) / VLOOKUP("buildings|SO2|Non-fatal heart attacks", US_national_yearly!$D:$AM, 10, FALSE), 1)</f>
        <v>6.1445591789685682E-3</v>
      </c>
      <c r="AB13" s="7">
        <f>$B13 * IFERROR(VLOOKUP("buildings|SO2|Non-fatal heart attacks", US_national_yearly!$D:$AM, 36, FALSE) / VLOOKUP("buildings|SO2|Non-fatal heart attacks", US_national_yearly!$D:$AM, 10, FALSE), 1)</f>
        <v>6.169301352751233E-3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1.1099556135931605</v>
      </c>
      <c r="C14" s="7">
        <f>$B14 * IFERROR(VLOOKUP("buildings|SO2|Minor restricted activity days", US_national_yearly!$D:$AM, 11, FALSE) / VLOOKUP("buildings|SO2|Minor restricted activity days", US_national_yearly!$D:$AM, 10, FALSE), 1)</f>
        <v>1.1127654077584157</v>
      </c>
      <c r="D14" s="7">
        <f>$B14 * IFERROR(VLOOKUP("buildings|SO2|Minor restricted activity days", US_national_yearly!$D:$AM, 12, FALSE) / VLOOKUP("buildings|SO2|Minor restricted activity days", US_national_yearly!$D:$AM, 10, FALSE), 1)</f>
        <v>1.1155752019236713</v>
      </c>
      <c r="E14" s="7">
        <f>$B14 * IFERROR(VLOOKUP("buildings|SO2|Minor restricted activity days", US_national_yearly!$D:$AM, 13, FALSE) / VLOOKUP("buildings|SO2|Minor restricted activity days", US_national_yearly!$D:$AM, 10, FALSE), 1)</f>
        <v>1.1183849960889267</v>
      </c>
      <c r="F14" s="7">
        <f>$B14 * IFERROR(VLOOKUP("buildings|SO2|Minor restricted activity days", US_national_yearly!$D:$AM, 14, FALSE) / VLOOKUP("buildings|SO2|Minor restricted activity days", US_national_yearly!$D:$AM, 10, FALSE), 1)</f>
        <v>1.1211947902541819</v>
      </c>
      <c r="G14" s="7">
        <f>$B14 * IFERROR(VLOOKUP("buildings|SO2|Minor restricted activity days", US_national_yearly!$D:$AM, 15, FALSE) / VLOOKUP("buildings|SO2|Minor restricted activity days", US_national_yearly!$D:$AM, 10, FALSE), 1)</f>
        <v>1.1253263009845971</v>
      </c>
      <c r="H14" s="7">
        <f>$B14 * IFERROR(VLOOKUP("buildings|SO2|Minor restricted activity days", US_national_yearly!$D:$AM, 16, FALSE) / VLOOKUP("buildings|SO2|Minor restricted activity days", US_national_yearly!$D:$AM, 10, FALSE), 1)</f>
        <v>1.1294578117150122</v>
      </c>
      <c r="I14" s="7">
        <f>$B14 * IFERROR(VLOOKUP("buildings|SO2|Minor restricted activity days", US_national_yearly!$D:$AM, 17, FALSE) / VLOOKUP("buildings|SO2|Minor restricted activity days", US_national_yearly!$D:$AM, 10, FALSE), 1)</f>
        <v>1.1364941902658563</v>
      </c>
      <c r="J14" s="7">
        <f>$B14 * IFERROR(VLOOKUP("buildings|SO2|Minor restricted activity days", US_national_yearly!$D:$AM, 18, FALSE) / VLOOKUP("buildings|SO2|Minor restricted activity days", US_national_yearly!$D:$AM, 10, FALSE), 1)</f>
        <v>1.1435305688167003</v>
      </c>
      <c r="K14" s="7">
        <f>$B14 * IFERROR(VLOOKUP("buildings|SO2|Minor restricted activity days", US_national_yearly!$D:$AM, 19, FALSE) / VLOOKUP("buildings|SO2|Minor restricted activity days", US_national_yearly!$D:$AM, 10, FALSE), 1)</f>
        <v>1.1505669473675442</v>
      </c>
      <c r="L14" s="7">
        <f>$B14 * IFERROR(VLOOKUP("buildings|SO2|Minor restricted activity days", US_national_yearly!$D:$AM, 20, FALSE) / VLOOKUP("buildings|SO2|Minor restricted activity days", US_national_yearly!$D:$AM, 10, FALSE), 1)</f>
        <v>1.157603325918388</v>
      </c>
      <c r="M14" s="7">
        <f>$B14 * IFERROR(VLOOKUP("buildings|SO2|Minor restricted activity days", US_national_yearly!$D:$AM, 21, FALSE) / VLOOKUP("buildings|SO2|Minor restricted activity days", US_national_yearly!$D:$AM, 10, FALSE), 1)</f>
        <v>1.1646397044692318</v>
      </c>
      <c r="N14" s="7">
        <f>$B14 * IFERROR(VLOOKUP("buildings|SO2|Minor restricted activity days", US_national_yearly!$D:$AM, 22, FALSE) / VLOOKUP("buildings|SO2|Minor restricted activity days", US_national_yearly!$D:$AM, 10, FALSE), 1)</f>
        <v>1.1742615823815321</v>
      </c>
      <c r="O14" s="7">
        <f>$B14 * IFERROR(VLOOKUP("buildings|SO2|Minor restricted activity days", US_national_yearly!$D:$AM, 23, FALSE) / VLOOKUP("buildings|SO2|Minor restricted activity days", US_national_yearly!$D:$AM, 10, FALSE), 1)</f>
        <v>1.1838834602938322</v>
      </c>
      <c r="P14" s="7">
        <f>$B14 * IFERROR(VLOOKUP("buildings|SO2|Minor restricted activity days", US_national_yearly!$D:$AM, 24, FALSE) / VLOOKUP("buildings|SO2|Minor restricted activity days", US_national_yearly!$D:$AM, 10, FALSE), 1)</f>
        <v>1.193505338206132</v>
      </c>
      <c r="Q14" s="7">
        <f>$B14 * IFERROR(VLOOKUP("buildings|SO2|Minor restricted activity days", US_national_yearly!$D:$AM, 25, FALSE) / VLOOKUP("buildings|SO2|Minor restricted activity days", US_national_yearly!$D:$AM, 10, FALSE), 1)</f>
        <v>1.2031272161184323</v>
      </c>
      <c r="R14" s="7">
        <f>$B14 * IFERROR(VLOOKUP("buildings|SO2|Minor restricted activity days", US_national_yearly!$D:$AM, 26, FALSE) / VLOOKUP("buildings|SO2|Minor restricted activity days", US_national_yearly!$D:$AM, 10, FALSE), 1)</f>
        <v>1.2127490940307324</v>
      </c>
      <c r="S14" s="7">
        <f>$B14 * IFERROR(VLOOKUP("buildings|SO2|Minor restricted activity days", US_national_yearly!$D:$AM, 27, FALSE) / VLOOKUP("buildings|SO2|Minor restricted activity days", US_national_yearly!$D:$AM, 10, FALSE), 1)</f>
        <v>1.2225579738933163</v>
      </c>
      <c r="T14" s="7">
        <f>$B14 * IFERROR(VLOOKUP("buildings|SO2|Minor restricted activity days", US_national_yearly!$D:$AM, 28, FALSE) / VLOOKUP("buildings|SO2|Minor restricted activity days", US_national_yearly!$D:$AM, 10, FALSE), 1)</f>
        <v>1.2323668537559005</v>
      </c>
      <c r="U14" s="7">
        <f>$B14 * IFERROR(VLOOKUP("buildings|SO2|Minor restricted activity days", US_national_yearly!$D:$AM, 29, FALSE) / VLOOKUP("buildings|SO2|Minor restricted activity days", US_national_yearly!$D:$AM, 10, FALSE), 1)</f>
        <v>1.2421757336184844</v>
      </c>
      <c r="V14" s="7">
        <f>$B14 * IFERROR(VLOOKUP("buildings|SO2|Minor restricted activity days", US_national_yearly!$D:$AM, 30, FALSE) / VLOOKUP("buildings|SO2|Minor restricted activity days", US_national_yearly!$D:$AM, 10, FALSE), 1)</f>
        <v>1.2519846134810686</v>
      </c>
      <c r="W14" s="7">
        <f>$B14 * IFERROR(VLOOKUP("buildings|SO2|Minor restricted activity days", US_national_yearly!$D:$AM, 31, FALSE) / VLOOKUP("buildings|SO2|Minor restricted activity days", US_national_yearly!$D:$AM, 10, FALSE), 1)</f>
        <v>1.261793493343653</v>
      </c>
      <c r="X14" s="7">
        <f>$B14 * IFERROR(VLOOKUP("buildings|SO2|Minor restricted activity days", US_national_yearly!$D:$AM, 32, FALSE) / VLOOKUP("buildings|SO2|Minor restricted activity days", US_national_yearly!$D:$AM, 10, FALSE), 1)</f>
        <v>1.2704198355333616</v>
      </c>
      <c r="Y14" s="7">
        <f>$B14 * IFERROR(VLOOKUP("buildings|SO2|Minor restricted activity days", US_national_yearly!$D:$AM, 33, FALSE) / VLOOKUP("buildings|SO2|Minor restricted activity days", US_national_yearly!$D:$AM, 10, FALSE), 1)</f>
        <v>1.2790461777230704</v>
      </c>
      <c r="Z14" s="7">
        <f>$B14 * IFERROR(VLOOKUP("buildings|SO2|Minor restricted activity days", US_national_yearly!$D:$AM, 34, FALSE) / VLOOKUP("buildings|SO2|Minor restricted activity days", US_national_yearly!$D:$AM, 10, FALSE), 1)</f>
        <v>1.2876725199127792</v>
      </c>
      <c r="AA14" s="7">
        <f>$B14 * IFERROR(VLOOKUP("buildings|SO2|Minor restricted activity days", US_national_yearly!$D:$AM, 35, FALSE) / VLOOKUP("buildings|SO2|Minor restricted activity days", US_national_yearly!$D:$AM, 10, FALSE), 1)</f>
        <v>1.296298862102488</v>
      </c>
      <c r="AB14" s="7">
        <f>$B14 * IFERROR(VLOOKUP("buildings|SO2|Minor restricted activity days", US_national_yearly!$D:$AM, 36, FALSE) / VLOOKUP("buildings|SO2|Minor restricted activity days", US_national_yearly!$D:$AM, 10, FALSE), 1)</f>
        <v>1.3049252042921966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0.18924243205024976</v>
      </c>
      <c r="C15" s="7">
        <f>$B15 * IFERROR(VLOOKUP("buildings|SO2|Work loss days", US_national_yearly!$D:$AM, 11, FALSE) / VLOOKUP("buildings|SO2|Work loss days", US_national_yearly!$D:$AM, 10, FALSE), 1)</f>
        <v>0.1898572776301066</v>
      </c>
      <c r="D15" s="7">
        <f>$B15 * IFERROR(VLOOKUP("buildings|SO2|Work loss days", US_national_yearly!$D:$AM, 12, FALSE) / VLOOKUP("buildings|SO2|Work loss days", US_national_yearly!$D:$AM, 10, FALSE), 1)</f>
        <v>0.19047212320996343</v>
      </c>
      <c r="E15" s="7">
        <f>$B15 * IFERROR(VLOOKUP("buildings|SO2|Work loss days", US_national_yearly!$D:$AM, 13, FALSE) / VLOOKUP("buildings|SO2|Work loss days", US_national_yearly!$D:$AM, 10, FALSE), 1)</f>
        <v>0.19108696878982026</v>
      </c>
      <c r="F15" s="7">
        <f>$B15 * IFERROR(VLOOKUP("buildings|SO2|Work loss days", US_national_yearly!$D:$AM, 14, FALSE) / VLOOKUP("buildings|SO2|Work loss days", US_national_yearly!$D:$AM, 10, FALSE), 1)</f>
        <v>0.19170181436967704</v>
      </c>
      <c r="G15" s="7">
        <f>$B15 * IFERROR(VLOOKUP("buildings|SO2|Work loss days", US_national_yearly!$D:$AM, 15, FALSE) / VLOOKUP("buildings|SO2|Work loss days", US_national_yearly!$D:$AM, 10, FALSE), 1)</f>
        <v>0.19250483672167656</v>
      </c>
      <c r="H15" s="7">
        <f>$B15 * IFERROR(VLOOKUP("buildings|SO2|Work loss days", US_national_yearly!$D:$AM, 16, FALSE) / VLOOKUP("buildings|SO2|Work loss days", US_national_yearly!$D:$AM, 10, FALSE), 1)</f>
        <v>0.19330785907367615</v>
      </c>
      <c r="I15" s="7">
        <f>$B15 * IFERROR(VLOOKUP("buildings|SO2|Work loss days", US_national_yearly!$D:$AM, 17, FALSE) / VLOOKUP("buildings|SO2|Work loss days", US_national_yearly!$D:$AM, 10, FALSE), 1)</f>
        <v>0.19448192269920006</v>
      </c>
      <c r="J15" s="7">
        <f>$B15 * IFERROR(VLOOKUP("buildings|SO2|Work loss days", US_national_yearly!$D:$AM, 18, FALSE) / VLOOKUP("buildings|SO2|Work loss days", US_national_yearly!$D:$AM, 10, FALSE), 1)</f>
        <v>0.19565598632472392</v>
      </c>
      <c r="K15" s="7">
        <f>$B15 * IFERROR(VLOOKUP("buildings|SO2|Work loss days", US_national_yearly!$D:$AM, 19, FALSE) / VLOOKUP("buildings|SO2|Work loss days", US_national_yearly!$D:$AM, 10, FALSE), 1)</f>
        <v>0.19683004995024783</v>
      </c>
      <c r="L15" s="7">
        <f>$B15 * IFERROR(VLOOKUP("buildings|SO2|Work loss days", US_national_yearly!$D:$AM, 20, FALSE) / VLOOKUP("buildings|SO2|Work loss days", US_national_yearly!$D:$AM, 10, FALSE), 1)</f>
        <v>0.19800411357577169</v>
      </c>
      <c r="M15" s="7">
        <f>$B15 * IFERROR(VLOOKUP("buildings|SO2|Work loss days", US_national_yearly!$D:$AM, 21, FALSE) / VLOOKUP("buildings|SO2|Work loss days", US_national_yearly!$D:$AM, 10, FALSE), 1)</f>
        <v>0.19917817720129558</v>
      </c>
      <c r="N15" s="7">
        <f>$B15 * IFERROR(VLOOKUP("buildings|SO2|Work loss days", US_national_yearly!$D:$AM, 22, FALSE) / VLOOKUP("buildings|SO2|Work loss days", US_national_yearly!$D:$AM, 10, FALSE), 1)</f>
        <v>0.20065043375503147</v>
      </c>
      <c r="O15" s="7">
        <f>$B15 * IFERROR(VLOOKUP("buildings|SO2|Work loss days", US_national_yearly!$D:$AM, 23, FALSE) / VLOOKUP("buildings|SO2|Work loss days", US_national_yearly!$D:$AM, 10, FALSE), 1)</f>
        <v>0.20212269030876731</v>
      </c>
      <c r="P15" s="7">
        <f>$B15 * IFERROR(VLOOKUP("buildings|SO2|Work loss days", US_national_yearly!$D:$AM, 24, FALSE) / VLOOKUP("buildings|SO2|Work loss days", US_national_yearly!$D:$AM, 10, FALSE), 1)</f>
        <v>0.20359494686250315</v>
      </c>
      <c r="Q15" s="7">
        <f>$B15 * IFERROR(VLOOKUP("buildings|SO2|Work loss days", US_national_yearly!$D:$AM, 25, FALSE) / VLOOKUP("buildings|SO2|Work loss days", US_national_yearly!$D:$AM, 10, FALSE), 1)</f>
        <v>0.20506720341623905</v>
      </c>
      <c r="R15" s="7">
        <f>$B15 * IFERROR(VLOOKUP("buildings|SO2|Work loss days", US_national_yearly!$D:$AM, 26, FALSE) / VLOOKUP("buildings|SO2|Work loss days", US_national_yearly!$D:$AM, 10, FALSE), 1)</f>
        <v>0.20653945996997486</v>
      </c>
      <c r="S15" s="7">
        <f>$B15 * IFERROR(VLOOKUP("buildings|SO2|Work loss days", US_national_yearly!$D:$AM, 27, FALSE) / VLOOKUP("buildings|SO2|Work loss days", US_national_yearly!$D:$AM, 10, FALSE), 1)</f>
        <v>0.20818409950211153</v>
      </c>
      <c r="T15" s="7">
        <f>$B15 * IFERROR(VLOOKUP("buildings|SO2|Work loss days", US_national_yearly!$D:$AM, 28, FALSE) / VLOOKUP("buildings|SO2|Work loss days", US_national_yearly!$D:$AM, 10, FALSE), 1)</f>
        <v>0.20982873903424817</v>
      </c>
      <c r="U15" s="7">
        <f>$B15 * IFERROR(VLOOKUP("buildings|SO2|Work loss days", US_national_yearly!$D:$AM, 29, FALSE) / VLOOKUP("buildings|SO2|Work loss days", US_national_yearly!$D:$AM, 10, FALSE), 1)</f>
        <v>0.21147337856638485</v>
      </c>
      <c r="V15" s="7">
        <f>$B15 * IFERROR(VLOOKUP("buildings|SO2|Work loss days", US_national_yearly!$D:$AM, 30, FALSE) / VLOOKUP("buildings|SO2|Work loss days", US_national_yearly!$D:$AM, 10, FALSE), 1)</f>
        <v>0.21311801809852143</v>
      </c>
      <c r="W15" s="7">
        <f>$B15 * IFERROR(VLOOKUP("buildings|SO2|Work loss days", US_national_yearly!$D:$AM, 31, FALSE) / VLOOKUP("buildings|SO2|Work loss days", US_national_yearly!$D:$AM, 10, FALSE), 1)</f>
        <v>0.2147626576306581</v>
      </c>
      <c r="X15" s="7">
        <f>$B15 * IFERROR(VLOOKUP("buildings|SO2|Work loss days", US_national_yearly!$D:$AM, 32, FALSE) / VLOOKUP("buildings|SO2|Work loss days", US_national_yearly!$D:$AM, 10, FALSE), 1)</f>
        <v>0.21623935007035941</v>
      </c>
      <c r="Y15" s="7">
        <f>$B15 * IFERROR(VLOOKUP("buildings|SO2|Work loss days", US_national_yearly!$D:$AM, 33, FALSE) / VLOOKUP("buildings|SO2|Work loss days", US_national_yearly!$D:$AM, 10, FALSE), 1)</f>
        <v>0.21771604251006071</v>
      </c>
      <c r="Z15" s="7">
        <f>$B15 * IFERROR(VLOOKUP("buildings|SO2|Work loss days", US_national_yearly!$D:$AM, 34, FALSE) / VLOOKUP("buildings|SO2|Work loss days", US_national_yearly!$D:$AM, 10, FALSE), 1)</f>
        <v>0.21919273494976199</v>
      </c>
      <c r="AA15" s="7">
        <f>$B15 * IFERROR(VLOOKUP("buildings|SO2|Work loss days", US_national_yearly!$D:$AM, 35, FALSE) / VLOOKUP("buildings|SO2|Work loss days", US_national_yearly!$D:$AM, 10, FALSE), 1)</f>
        <v>0.22066942738946332</v>
      </c>
      <c r="AB15" s="7">
        <f>$B15 * IFERROR(VLOOKUP("buildings|SO2|Work loss days", US_national_yearly!$D:$AM, 36, FALSE) / VLOOKUP("buildings|SO2|Work loss days", US_national_yearly!$D:$AM, 10, FALSE), 1)</f>
        <v>0.22214611982916457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1.0721413629871698E-3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1.104572951433995E-3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1.1370045398808202E-3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1.1694361283276456E-3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1.2018677167744708E-3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1.2329352358963189E-3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1.2640027550181669E-3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1.2906275563208821E-3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1.3172523576235968E-3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1.343877158926312E-3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1.370501960229027E-3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1.3971267615317418E-3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1.4150047820158844E-3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1.4328828025000271E-3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1.4507608229841697E-3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1.4686388434683121E-3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1.4865168639524547E-3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1.495918537256883E-3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1.5053202105613111E-3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1.514721883865739E-3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1.524123557170167E-3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1.5335252304745949E-3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1.5398384752338824E-3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1.5461517199931696E-3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1.5524649647524569E-3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1.5587782095117446E-3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1.5650914542710318E-3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1.7130489848504012E-2</v>
      </c>
      <c r="C2" s="7">
        <f>$B2 * IFERROR(VLOOKUP("industry|PM25|Premature mortality", US_national_yearly!$D:$AM, 11, FALSE) / VLOOKUP("industry|PM25|Premature mortality", US_national_yearly!$D:$AM, 10, FALSE), 1)</f>
        <v>1.7343820427750702E-2</v>
      </c>
      <c r="D2" s="7">
        <f>$B2 * IFERROR(VLOOKUP("industry|PM25|Premature mortality", US_national_yearly!$D:$AM, 12, FALSE) / VLOOKUP("industry|PM25|Premature mortality", US_national_yearly!$D:$AM, 10, FALSE), 1)</f>
        <v>1.7557151006997389E-2</v>
      </c>
      <c r="E2" s="7">
        <f>$B2 * IFERROR(VLOOKUP("industry|PM25|Premature mortality", US_national_yearly!$D:$AM, 13, FALSE) / VLOOKUP("industry|PM25|Premature mortality", US_national_yearly!$D:$AM, 10, FALSE), 1)</f>
        <v>1.7770481586244082E-2</v>
      </c>
      <c r="F2" s="7">
        <f>$B2 * IFERROR(VLOOKUP("industry|PM25|Premature mortality", US_national_yearly!$D:$AM, 14, FALSE) / VLOOKUP("industry|PM25|Premature mortality", US_national_yearly!$D:$AM, 10, FALSE), 1)</f>
        <v>1.7983812165490769E-2</v>
      </c>
      <c r="G2" s="7">
        <f>$B2 * IFERROR(VLOOKUP("industry|PM25|Premature mortality", US_national_yearly!$D:$AM, 15, FALSE) / VLOOKUP("industry|PM25|Premature mortality", US_national_yearly!$D:$AM, 10, FALSE), 1)</f>
        <v>1.8398843493869284E-2</v>
      </c>
      <c r="H2" s="7">
        <f>$B2 * IFERROR(VLOOKUP("industry|PM25|Premature mortality", US_national_yearly!$D:$AM, 16, FALSE) / VLOOKUP("industry|PM25|Premature mortality", US_national_yearly!$D:$AM, 10, FALSE), 1)</f>
        <v>1.8813874822247799E-2</v>
      </c>
      <c r="I2" s="7">
        <f>$B2 * IFERROR(VLOOKUP("industry|PM25|Premature mortality", US_national_yearly!$D:$AM, 17, FALSE) / VLOOKUP("industry|PM25|Premature mortality", US_national_yearly!$D:$AM, 10, FALSE), 1)</f>
        <v>1.9087918628677571E-2</v>
      </c>
      <c r="J2" s="7">
        <f>$B2 * IFERROR(VLOOKUP("industry|PM25|Premature mortality", US_national_yearly!$D:$AM, 18, FALSE) / VLOOKUP("industry|PM25|Premature mortality", US_national_yearly!$D:$AM, 10, FALSE), 1)</f>
        <v>1.9361962435107339E-2</v>
      </c>
      <c r="K2" s="7">
        <f>$B2 * IFERROR(VLOOKUP("industry|PM25|Premature mortality", US_national_yearly!$D:$AM, 19, FALSE) / VLOOKUP("industry|PM25|Premature mortality", US_national_yearly!$D:$AM, 10, FALSE), 1)</f>
        <v>1.9636006241537107E-2</v>
      </c>
      <c r="L2" s="7">
        <f>$B2 * IFERROR(VLOOKUP("industry|PM25|Premature mortality", US_national_yearly!$D:$AM, 20, FALSE) / VLOOKUP("industry|PM25|Premature mortality", US_national_yearly!$D:$AM, 10, FALSE), 1)</f>
        <v>1.9910050047966876E-2</v>
      </c>
      <c r="M2" s="7">
        <f>$B2 * IFERROR(VLOOKUP("industry|PM25|Premature mortality", US_national_yearly!$D:$AM, 21, FALSE) / VLOOKUP("industry|PM25|Premature mortality", US_national_yearly!$D:$AM, 10, FALSE), 1)</f>
        <v>2.0184093854396647E-2</v>
      </c>
      <c r="N2" s="7">
        <f>$B2 * IFERROR(VLOOKUP("industry|PM25|Premature mortality", US_national_yearly!$D:$AM, 22, FALSE) / VLOOKUP("industry|PM25|Premature mortality", US_national_yearly!$D:$AM, 10, FALSE), 1)</f>
        <v>2.0397597409491892E-2</v>
      </c>
      <c r="O2" s="7">
        <f>$B2 * IFERROR(VLOOKUP("industry|PM25|Premature mortality", US_national_yearly!$D:$AM, 23, FALSE) / VLOOKUP("industry|PM25|Premature mortality", US_national_yearly!$D:$AM, 10, FALSE), 1)</f>
        <v>2.0611100964587136E-2</v>
      </c>
      <c r="P2" s="7">
        <f>$B2 * IFERROR(VLOOKUP("industry|PM25|Premature mortality", US_national_yearly!$D:$AM, 24, FALSE) / VLOOKUP("industry|PM25|Premature mortality", US_national_yearly!$D:$AM, 10, FALSE), 1)</f>
        <v>2.0824604519682384E-2</v>
      </c>
      <c r="Q2" s="7">
        <f>$B2 * IFERROR(VLOOKUP("industry|PM25|Premature mortality", US_national_yearly!$D:$AM, 25, FALSE) / VLOOKUP("industry|PM25|Premature mortality", US_national_yearly!$D:$AM, 10, FALSE), 1)</f>
        <v>2.1038108074777628E-2</v>
      </c>
      <c r="R2" s="7">
        <f>$B2 * IFERROR(VLOOKUP("industry|PM25|Premature mortality", US_national_yearly!$D:$AM, 26, FALSE) / VLOOKUP("industry|PM25|Premature mortality", US_national_yearly!$D:$AM, 10, FALSE), 1)</f>
        <v>2.1251611629872873E-2</v>
      </c>
      <c r="S2" s="7">
        <f>$B2 * IFERROR(VLOOKUP("industry|PM25|Premature mortality", US_national_yearly!$D:$AM, 27, FALSE) / VLOOKUP("industry|PM25|Premature mortality", US_national_yearly!$D:$AM, 10, FALSE), 1)</f>
        <v>2.1366895630836505E-2</v>
      </c>
      <c r="T2" s="7">
        <f>$B2 * IFERROR(VLOOKUP("industry|PM25|Premature mortality", US_national_yearly!$D:$AM, 28, FALSE) / VLOOKUP("industry|PM25|Premature mortality", US_national_yearly!$D:$AM, 10, FALSE), 1)</f>
        <v>2.1482179631800137E-2</v>
      </c>
      <c r="U2" s="7">
        <f>$B2 * IFERROR(VLOOKUP("industry|PM25|Premature mortality", US_national_yearly!$D:$AM, 29, FALSE) / VLOOKUP("industry|PM25|Premature mortality", US_national_yearly!$D:$AM, 10, FALSE), 1)</f>
        <v>2.1597463632763776E-2</v>
      </c>
      <c r="V2" s="7">
        <f>$B2 * IFERROR(VLOOKUP("industry|PM25|Premature mortality", US_national_yearly!$D:$AM, 30, FALSE) / VLOOKUP("industry|PM25|Premature mortality", US_national_yearly!$D:$AM, 10, FALSE), 1)</f>
        <v>2.1712747633727408E-2</v>
      </c>
      <c r="W2" s="7">
        <f>$B2 * IFERROR(VLOOKUP("industry|PM25|Premature mortality", US_national_yearly!$D:$AM, 31, FALSE) / VLOOKUP("industry|PM25|Premature mortality", US_national_yearly!$D:$AM, 10, FALSE), 1)</f>
        <v>2.1828031634691041E-2</v>
      </c>
      <c r="X2" s="7">
        <f>$B2 * IFERROR(VLOOKUP("industry|PM25|Premature mortality", US_national_yearly!$D:$AM, 32, FALSE) / VLOOKUP("industry|PM25|Premature mortality", US_national_yearly!$D:$AM, 10, FALSE), 1)</f>
        <v>2.1851833740111692E-2</v>
      </c>
      <c r="Y2" s="7">
        <f>$B2 * IFERROR(VLOOKUP("industry|PM25|Premature mortality", US_national_yearly!$D:$AM, 33, FALSE) / VLOOKUP("industry|PM25|Premature mortality", US_national_yearly!$D:$AM, 10, FALSE), 1)</f>
        <v>2.1875635845532357E-2</v>
      </c>
      <c r="Z2" s="7">
        <f>$B2 * IFERROR(VLOOKUP("industry|PM25|Premature mortality", US_national_yearly!$D:$AM, 34, FALSE) / VLOOKUP("industry|PM25|Premature mortality", US_national_yearly!$D:$AM, 10, FALSE), 1)</f>
        <v>2.1899437950953012E-2</v>
      </c>
      <c r="AA2" s="7">
        <f>$B2 * IFERROR(VLOOKUP("industry|PM25|Premature mortality", US_national_yearly!$D:$AM, 35, FALSE) / VLOOKUP("industry|PM25|Premature mortality", US_national_yearly!$D:$AM, 10, FALSE), 1)</f>
        <v>2.192324005637367E-2</v>
      </c>
      <c r="AB2" s="7">
        <f>$B2 * IFERROR(VLOOKUP("industry|PM25|Premature mortality", US_national_yearly!$D:$AM, 36, FALSE) / VLOOKUP("industry|PM25|Premature mortality", US_national_yearly!$D:$AM, 10, FALSE), 1)</f>
        <v>2.1947042161794328E-2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4.4896522189096195E-5</v>
      </c>
      <c r="C3" s="7">
        <f>$B3 * IFERROR(VLOOKUP("industry|PM25|Infant mortality", US_national_yearly!$D:$AM, 11, FALSE) / VLOOKUP("industry|PM25|Infant mortality", US_national_yearly!$D:$AM, 10, FALSE), 1)</f>
        <v>4.4505614956545032E-5</v>
      </c>
      <c r="D3" s="7">
        <f>$B3 * IFERROR(VLOOKUP("industry|PM25|Infant mortality", US_national_yearly!$D:$AM, 12, FALSE) / VLOOKUP("industry|PM25|Infant mortality", US_national_yearly!$D:$AM, 10, FALSE), 1)</f>
        <v>4.4114707723993862E-5</v>
      </c>
      <c r="E3" s="7">
        <f>$B3 * IFERROR(VLOOKUP("industry|PM25|Infant mortality", US_national_yearly!$D:$AM, 13, FALSE) / VLOOKUP("industry|PM25|Infant mortality", US_national_yearly!$D:$AM, 10, FALSE), 1)</f>
        <v>4.3723800491442692E-5</v>
      </c>
      <c r="F3" s="7">
        <f>$B3 * IFERROR(VLOOKUP("industry|PM25|Infant mortality", US_national_yearly!$D:$AM, 14, FALSE) / VLOOKUP("industry|PM25|Infant mortality", US_national_yearly!$D:$AM, 10, FALSE), 1)</f>
        <v>4.3332893258891528E-5</v>
      </c>
      <c r="G3" s="7">
        <f>$B3 * IFERROR(VLOOKUP("industry|PM25|Infant mortality", US_national_yearly!$D:$AM, 15, FALSE) / VLOOKUP("industry|PM25|Infant mortality", US_national_yearly!$D:$AM, 10, FALSE), 1)</f>
        <v>2.8791891061679198E-5</v>
      </c>
      <c r="H3" s="7">
        <f>$B3 * IFERROR(VLOOKUP("industry|PM25|Infant mortality", US_national_yearly!$D:$AM, 16, FALSE) / VLOOKUP("industry|PM25|Infant mortality", US_national_yearly!$D:$AM, 10, FALSE), 1)</f>
        <v>1.4250888864466867E-5</v>
      </c>
      <c r="I3" s="7">
        <f>$B3 * IFERROR(VLOOKUP("industry|PM25|Infant mortality", US_national_yearly!$D:$AM, 17, FALSE) / VLOOKUP("industry|PM25|Infant mortality", US_national_yearly!$D:$AM, 10, FALSE), 1)</f>
        <v>1.415603514323152E-5</v>
      </c>
      <c r="J3" s="7">
        <f>$B3 * IFERROR(VLOOKUP("industry|PM25|Infant mortality", US_national_yearly!$D:$AM, 18, FALSE) / VLOOKUP("industry|PM25|Infant mortality", US_national_yearly!$D:$AM, 10, FALSE), 1)</f>
        <v>1.4061181421996175E-5</v>
      </c>
      <c r="K3" s="7">
        <f>$B3 * IFERROR(VLOOKUP("industry|PM25|Infant mortality", US_national_yearly!$D:$AM, 19, FALSE) / VLOOKUP("industry|PM25|Infant mortality", US_national_yearly!$D:$AM, 10, FALSE), 1)</f>
        <v>1.3966327700760829E-5</v>
      </c>
      <c r="L3" s="7">
        <f>$B3 * IFERROR(VLOOKUP("industry|PM25|Infant mortality", US_national_yearly!$D:$AM, 20, FALSE) / VLOOKUP("industry|PM25|Infant mortality", US_national_yearly!$D:$AM, 10, FALSE), 1)</f>
        <v>1.3871473979525482E-5</v>
      </c>
      <c r="M3" s="7">
        <f>$B3 * IFERROR(VLOOKUP("industry|PM25|Infant mortality", US_national_yearly!$D:$AM, 21, FALSE) / VLOOKUP("industry|PM25|Infant mortality", US_national_yearly!$D:$AM, 10, FALSE), 1)</f>
        <v>1.3776620258290138E-5</v>
      </c>
      <c r="N3" s="7">
        <f>$B3 * IFERROR(VLOOKUP("industry|PM25|Infant mortality", US_national_yearly!$D:$AM, 22, FALSE) / VLOOKUP("industry|PM25|Infant mortality", US_national_yearly!$D:$AM, 10, FALSE), 1)</f>
        <v>1.3716094347368695E-5</v>
      </c>
      <c r="O3" s="7">
        <f>$B3 * IFERROR(VLOOKUP("industry|PM25|Infant mortality", US_national_yearly!$D:$AM, 23, FALSE) / VLOOKUP("industry|PM25|Infant mortality", US_national_yearly!$D:$AM, 10, FALSE), 1)</f>
        <v>1.3655568436447254E-5</v>
      </c>
      <c r="P3" s="7">
        <f>$B3 * IFERROR(VLOOKUP("industry|PM25|Infant mortality", US_national_yearly!$D:$AM, 24, FALSE) / VLOOKUP("industry|PM25|Infant mortality", US_national_yearly!$D:$AM, 10, FALSE), 1)</f>
        <v>1.3595042525525816E-5</v>
      </c>
      <c r="Q3" s="7">
        <f>$B3 * IFERROR(VLOOKUP("industry|PM25|Infant mortality", US_national_yearly!$D:$AM, 25, FALSE) / VLOOKUP("industry|PM25|Infant mortality", US_national_yearly!$D:$AM, 10, FALSE), 1)</f>
        <v>1.3534516614604375E-5</v>
      </c>
      <c r="R3" s="7">
        <f>$B3 * IFERROR(VLOOKUP("industry|PM25|Infant mortality", US_national_yearly!$D:$AM, 26, FALSE) / VLOOKUP("industry|PM25|Infant mortality", US_national_yearly!$D:$AM, 10, FALSE), 1)</f>
        <v>1.3473990703682935E-5</v>
      </c>
      <c r="S3" s="7">
        <f>$B3 * IFERROR(VLOOKUP("industry|PM25|Infant mortality", US_national_yearly!$D:$AM, 27, FALSE) / VLOOKUP("industry|PM25|Infant mortality", US_national_yearly!$D:$AM, 10, FALSE), 1)</f>
        <v>1.3399549298156431E-5</v>
      </c>
      <c r="T3" s="7">
        <f>$B3 * IFERROR(VLOOKUP("industry|PM25|Infant mortality", US_national_yearly!$D:$AM, 28, FALSE) / VLOOKUP("industry|PM25|Infant mortality", US_national_yearly!$D:$AM, 10, FALSE), 1)</f>
        <v>1.332510789262993E-5</v>
      </c>
      <c r="U3" s="7">
        <f>$B3 * IFERROR(VLOOKUP("industry|PM25|Infant mortality", US_national_yearly!$D:$AM, 29, FALSE) / VLOOKUP("industry|PM25|Infant mortality", US_national_yearly!$D:$AM, 10, FALSE), 1)</f>
        <v>1.3250666487103425E-5</v>
      </c>
      <c r="V3" s="7">
        <f>$B3 * IFERROR(VLOOKUP("industry|PM25|Infant mortality", US_national_yearly!$D:$AM, 30, FALSE) / VLOOKUP("industry|PM25|Infant mortality", US_national_yearly!$D:$AM, 10, FALSE), 1)</f>
        <v>1.3176225081576923E-5</v>
      </c>
      <c r="W3" s="7">
        <f>$B3 * IFERROR(VLOOKUP("industry|PM25|Infant mortality", US_national_yearly!$D:$AM, 31, FALSE) / VLOOKUP("industry|PM25|Infant mortality", US_national_yearly!$D:$AM, 10, FALSE), 1)</f>
        <v>1.3101783676050421E-5</v>
      </c>
      <c r="X3" s="7">
        <f>$B3 * IFERROR(VLOOKUP("industry|PM25|Infant mortality", US_national_yearly!$D:$AM, 32, FALSE) / VLOOKUP("industry|PM25|Infant mortality", US_national_yearly!$D:$AM, 10, FALSE), 1)</f>
        <v>1.3022233706478837E-5</v>
      </c>
      <c r="Y3" s="7">
        <f>$B3 * IFERROR(VLOOKUP("industry|PM25|Infant mortality", US_national_yearly!$D:$AM, 33, FALSE) / VLOOKUP("industry|PM25|Infant mortality", US_national_yearly!$D:$AM, 10, FALSE), 1)</f>
        <v>1.2942683736907252E-5</v>
      </c>
      <c r="Z3" s="7">
        <f>$B3 * IFERROR(VLOOKUP("industry|PM25|Infant mortality", US_national_yearly!$D:$AM, 34, FALSE) / VLOOKUP("industry|PM25|Infant mortality", US_national_yearly!$D:$AM, 10, FALSE), 1)</f>
        <v>1.2863133767335667E-5</v>
      </c>
      <c r="AA3" s="7">
        <f>$B3 * IFERROR(VLOOKUP("industry|PM25|Infant mortality", US_national_yearly!$D:$AM, 35, FALSE) / VLOOKUP("industry|PM25|Infant mortality", US_national_yearly!$D:$AM, 10, FALSE), 1)</f>
        <v>1.2783583797764082E-5</v>
      </c>
      <c r="AB3" s="7">
        <f>$B3 * IFERROR(VLOOKUP("industry|PM25|Infant mortality", US_national_yearly!$D:$AM, 36, FALSE) / VLOOKUP("industry|PM25|Infant mortality", US_national_yearly!$D:$AM, 10, FALSE), 1)</f>
        <v>1.2704033828192499E-5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4.0098180317253485E-2</v>
      </c>
      <c r="C6" s="7">
        <f>$B6 * IFERROR(VLOOKUP("industry|PM25|Asthma symptoms cough", US_national_yearly!$D:$AM, 11, FALSE) / VLOOKUP("industry|PM25|Asthma symptoms cough", US_national_yearly!$D:$AM, 10, FALSE), 1)</f>
        <v>4.0098180317253485E-2</v>
      </c>
      <c r="D6" s="7">
        <f>$B6 * IFERROR(VLOOKUP("industry|PM25|Asthma symptoms cough", US_national_yearly!$D:$AM, 12, FALSE) / VLOOKUP("industry|PM25|Asthma symptoms cough", US_national_yearly!$D:$AM, 10, FALSE), 1)</f>
        <v>4.0098180317253485E-2</v>
      </c>
      <c r="E6" s="7">
        <f>$B6 * IFERROR(VLOOKUP("industry|PM25|Asthma symptoms cough", US_national_yearly!$D:$AM, 13, FALSE) / VLOOKUP("industry|PM25|Asthma symptoms cough", US_national_yearly!$D:$AM, 10, FALSE), 1)</f>
        <v>4.0098180317253485E-2</v>
      </c>
      <c r="F6" s="7">
        <f>$B6 * IFERROR(VLOOKUP("industry|PM25|Asthma symptoms cough", US_national_yearly!$D:$AM, 14, FALSE) / VLOOKUP("industry|PM25|Asthma symptoms cough", US_national_yearly!$D:$AM, 10, FALSE), 1)</f>
        <v>4.0098180317253485E-2</v>
      </c>
      <c r="G6" s="7">
        <f>$B6 * IFERROR(VLOOKUP("industry|PM25|Asthma symptoms cough", US_national_yearly!$D:$AM, 15, FALSE) / VLOOKUP("industry|PM25|Asthma symptoms cough", US_national_yearly!$D:$AM, 10, FALSE), 1)</f>
        <v>4.0098180317253485E-2</v>
      </c>
      <c r="H6" s="7">
        <f>$B6 * IFERROR(VLOOKUP("industry|PM25|Asthma symptoms cough", US_national_yearly!$D:$AM, 16, FALSE) / VLOOKUP("industry|PM25|Asthma symptoms cough", US_national_yearly!$D:$AM, 10, FALSE), 1)</f>
        <v>4.0098180317253485E-2</v>
      </c>
      <c r="I6" s="7">
        <f>$B6 * IFERROR(VLOOKUP("industry|PM25|Asthma symptoms cough", US_national_yearly!$D:$AM, 17, FALSE) / VLOOKUP("industry|PM25|Asthma symptoms cough", US_national_yearly!$D:$AM, 10, FALSE), 1)</f>
        <v>4.0098180317253485E-2</v>
      </c>
      <c r="J6" s="7">
        <f>$B6 * IFERROR(VLOOKUP("industry|PM25|Asthma symptoms cough", US_national_yearly!$D:$AM, 18, FALSE) / VLOOKUP("industry|PM25|Asthma symptoms cough", US_national_yearly!$D:$AM, 10, FALSE), 1)</f>
        <v>4.0098180317253485E-2</v>
      </c>
      <c r="K6" s="7">
        <f>$B6 * IFERROR(VLOOKUP("industry|PM25|Asthma symptoms cough", US_national_yearly!$D:$AM, 19, FALSE) / VLOOKUP("industry|PM25|Asthma symptoms cough", US_national_yearly!$D:$AM, 10, FALSE), 1)</f>
        <v>4.0098180317253485E-2</v>
      </c>
      <c r="L6" s="7">
        <f>$B6 * IFERROR(VLOOKUP("industry|PM25|Asthma symptoms cough", US_national_yearly!$D:$AM, 20, FALSE) / VLOOKUP("industry|PM25|Asthma symptoms cough", US_national_yearly!$D:$AM, 10, FALSE), 1)</f>
        <v>4.0098180317253485E-2</v>
      </c>
      <c r="M6" s="7">
        <f>$B6 * IFERROR(VLOOKUP("industry|PM25|Asthma symptoms cough", US_national_yearly!$D:$AM, 21, FALSE) / VLOOKUP("industry|PM25|Asthma symptoms cough", US_national_yearly!$D:$AM, 10, FALSE), 1)</f>
        <v>4.0098180317253485E-2</v>
      </c>
      <c r="N6" s="7">
        <f>$B6 * IFERROR(VLOOKUP("industry|PM25|Asthma symptoms cough", US_national_yearly!$D:$AM, 22, FALSE) / VLOOKUP("industry|PM25|Asthma symptoms cough", US_national_yearly!$D:$AM, 10, FALSE), 1)</f>
        <v>4.0098180317253485E-2</v>
      </c>
      <c r="O6" s="7">
        <f>$B6 * IFERROR(VLOOKUP("industry|PM25|Asthma symptoms cough", US_national_yearly!$D:$AM, 23, FALSE) / VLOOKUP("industry|PM25|Asthma symptoms cough", US_national_yearly!$D:$AM, 10, FALSE), 1)</f>
        <v>4.0098180317253485E-2</v>
      </c>
      <c r="P6" s="7">
        <f>$B6 * IFERROR(VLOOKUP("industry|PM25|Asthma symptoms cough", US_national_yearly!$D:$AM, 24, FALSE) / VLOOKUP("industry|PM25|Asthma symptoms cough", US_national_yearly!$D:$AM, 10, FALSE), 1)</f>
        <v>4.0098180317253485E-2</v>
      </c>
      <c r="Q6" s="7">
        <f>$B6 * IFERROR(VLOOKUP("industry|PM25|Asthma symptoms cough", US_national_yearly!$D:$AM, 25, FALSE) / VLOOKUP("industry|PM25|Asthma symptoms cough", US_national_yearly!$D:$AM, 10, FALSE), 1)</f>
        <v>4.0098180317253485E-2</v>
      </c>
      <c r="R6" s="7">
        <f>$B6 * IFERROR(VLOOKUP("industry|PM25|Asthma symptoms cough", US_national_yearly!$D:$AM, 26, FALSE) / VLOOKUP("industry|PM25|Asthma symptoms cough", US_national_yearly!$D:$AM, 10, FALSE), 1)</f>
        <v>4.0098180317253485E-2</v>
      </c>
      <c r="S6" s="7">
        <f>$B6 * IFERROR(VLOOKUP("industry|PM25|Asthma symptoms cough", US_national_yearly!$D:$AM, 27, FALSE) / VLOOKUP("industry|PM25|Asthma symptoms cough", US_national_yearly!$D:$AM, 10, FALSE), 1)</f>
        <v>4.0098180317253485E-2</v>
      </c>
      <c r="T6" s="7">
        <f>$B6 * IFERROR(VLOOKUP("industry|PM25|Asthma symptoms cough", US_national_yearly!$D:$AM, 28, FALSE) / VLOOKUP("industry|PM25|Asthma symptoms cough", US_national_yearly!$D:$AM, 10, FALSE), 1)</f>
        <v>4.0098180317253485E-2</v>
      </c>
      <c r="U6" s="7">
        <f>$B6 * IFERROR(VLOOKUP("industry|PM25|Asthma symptoms cough", US_national_yearly!$D:$AM, 29, FALSE) / VLOOKUP("industry|PM25|Asthma symptoms cough", US_national_yearly!$D:$AM, 10, FALSE), 1)</f>
        <v>4.0098180317253485E-2</v>
      </c>
      <c r="V6" s="7">
        <f>$B6 * IFERROR(VLOOKUP("industry|PM25|Asthma symptoms cough", US_national_yearly!$D:$AM, 30, FALSE) / VLOOKUP("industry|PM25|Asthma symptoms cough", US_national_yearly!$D:$AM, 10, FALSE), 1)</f>
        <v>4.0098180317253485E-2</v>
      </c>
      <c r="W6" s="7">
        <f>$B6 * IFERROR(VLOOKUP("industry|PM25|Asthma symptoms cough", US_national_yearly!$D:$AM, 31, FALSE) / VLOOKUP("industry|PM25|Asthma symptoms cough", US_national_yearly!$D:$AM, 10, FALSE), 1)</f>
        <v>4.0098180317253485E-2</v>
      </c>
      <c r="X6" s="7">
        <f>$B6 * IFERROR(VLOOKUP("industry|PM25|Asthma symptoms cough", US_national_yearly!$D:$AM, 32, FALSE) / VLOOKUP("industry|PM25|Asthma symptoms cough", US_national_yearly!$D:$AM, 10, FALSE), 1)</f>
        <v>4.0098180317253485E-2</v>
      </c>
      <c r="Y6" s="7">
        <f>$B6 * IFERROR(VLOOKUP("industry|PM25|Asthma symptoms cough", US_national_yearly!$D:$AM, 33, FALSE) / VLOOKUP("industry|PM25|Asthma symptoms cough", US_national_yearly!$D:$AM, 10, FALSE), 1)</f>
        <v>4.0098180317253485E-2</v>
      </c>
      <c r="Z6" s="7">
        <f>$B6 * IFERROR(VLOOKUP("industry|PM25|Asthma symptoms cough", US_national_yearly!$D:$AM, 34, FALSE) / VLOOKUP("industry|PM25|Asthma symptoms cough", US_national_yearly!$D:$AM, 10, FALSE), 1)</f>
        <v>4.0098180317253485E-2</v>
      </c>
      <c r="AA6" s="7">
        <f>$B6 * IFERROR(VLOOKUP("industry|PM25|Asthma symptoms cough", US_national_yearly!$D:$AM, 35, FALSE) / VLOOKUP("industry|PM25|Asthma symptoms cough", US_national_yearly!$D:$AM, 10, FALSE), 1)</f>
        <v>4.0098180317253485E-2</v>
      </c>
      <c r="AB6" s="7">
        <f>$B6 * IFERROR(VLOOKUP("industry|PM25|Asthma symptoms cough", US_national_yearly!$D:$AM, 36, FALSE) / VLOOKUP("industry|PM25|Asthma symptoms cough", US_national_yearly!$D:$AM, 10, FALSE), 1)</f>
        <v>4.0098180317253485E-2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5.3992826111189496E-2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5.3992826111189496E-2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5.3992826111189496E-2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5.3992826111189496E-2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5.3992826111189496E-2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5.3992826111189496E-2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5.3992826111189496E-2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5.3992826111189496E-2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5.3992826111189496E-2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5.3992826111189496E-2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5.3992826111189496E-2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5.3992826111189496E-2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5.3992826111189496E-2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5.3992826111189496E-2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5.3992826111189496E-2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5.3992826111189496E-2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5.3992826111189496E-2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5.3992826111189496E-2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5.3992826111189496E-2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5.3992826111189496E-2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5.3992826111189496E-2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5.3992826111189496E-2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5.3992826111189496E-2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5.3992826111189496E-2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5.3992826111189496E-2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5.3992826111189496E-2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5.3992826111189496E-2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8.2510383322016809E-2</v>
      </c>
      <c r="C8" s="7">
        <f>$B8 * IFERROR(VLOOKUP("industry|PM25|Asthma symptoms wheeze", US_national_yearly!$D:$AM, 11, FALSE) / VLOOKUP("industry|PM25|Asthma symptoms wheeze", US_national_yearly!$D:$AM, 10, FALSE), 1)</f>
        <v>8.2510383322016809E-2</v>
      </c>
      <c r="D8" s="7">
        <f>$B8 * IFERROR(VLOOKUP("industry|PM25|Asthma symptoms wheeze", US_national_yearly!$D:$AM, 12, FALSE) / VLOOKUP("industry|PM25|Asthma symptoms wheeze", US_national_yearly!$D:$AM, 10, FALSE), 1)</f>
        <v>8.2510383322016809E-2</v>
      </c>
      <c r="E8" s="7">
        <f>$B8 * IFERROR(VLOOKUP("industry|PM25|Asthma symptoms wheeze", US_national_yearly!$D:$AM, 13, FALSE) / VLOOKUP("industry|PM25|Asthma symptoms wheeze", US_national_yearly!$D:$AM, 10, FALSE), 1)</f>
        <v>8.2510383322016809E-2</v>
      </c>
      <c r="F8" s="7">
        <f>$B8 * IFERROR(VLOOKUP("industry|PM25|Asthma symptoms wheeze", US_national_yearly!$D:$AM, 14, FALSE) / VLOOKUP("industry|PM25|Asthma symptoms wheeze", US_national_yearly!$D:$AM, 10, FALSE), 1)</f>
        <v>8.2510383322016809E-2</v>
      </c>
      <c r="G8" s="7">
        <f>$B8 * IFERROR(VLOOKUP("industry|PM25|Asthma symptoms wheeze", US_national_yearly!$D:$AM, 15, FALSE) / VLOOKUP("industry|PM25|Asthma symptoms wheeze", US_national_yearly!$D:$AM, 10, FALSE), 1)</f>
        <v>8.2510383322016809E-2</v>
      </c>
      <c r="H8" s="7">
        <f>$B8 * IFERROR(VLOOKUP("industry|PM25|Asthma symptoms wheeze", US_national_yearly!$D:$AM, 16, FALSE) / VLOOKUP("industry|PM25|Asthma symptoms wheeze", US_national_yearly!$D:$AM, 10, FALSE), 1)</f>
        <v>8.2510383322016809E-2</v>
      </c>
      <c r="I8" s="7">
        <f>$B8 * IFERROR(VLOOKUP("industry|PM25|Asthma symptoms wheeze", US_national_yearly!$D:$AM, 17, FALSE) / VLOOKUP("industry|PM25|Asthma symptoms wheeze", US_national_yearly!$D:$AM, 10, FALSE), 1)</f>
        <v>8.2510383322016809E-2</v>
      </c>
      <c r="J8" s="7">
        <f>$B8 * IFERROR(VLOOKUP("industry|PM25|Asthma symptoms wheeze", US_national_yearly!$D:$AM, 18, FALSE) / VLOOKUP("industry|PM25|Asthma symptoms wheeze", US_national_yearly!$D:$AM, 10, FALSE), 1)</f>
        <v>8.2510383322016809E-2</v>
      </c>
      <c r="K8" s="7">
        <f>$B8 * IFERROR(VLOOKUP("industry|PM25|Asthma symptoms wheeze", US_national_yearly!$D:$AM, 19, FALSE) / VLOOKUP("industry|PM25|Asthma symptoms wheeze", US_national_yearly!$D:$AM, 10, FALSE), 1)</f>
        <v>8.2510383322016809E-2</v>
      </c>
      <c r="L8" s="7">
        <f>$B8 * IFERROR(VLOOKUP("industry|PM25|Asthma symptoms wheeze", US_national_yearly!$D:$AM, 20, FALSE) / VLOOKUP("industry|PM25|Asthma symptoms wheeze", US_national_yearly!$D:$AM, 10, FALSE), 1)</f>
        <v>8.2510383322016809E-2</v>
      </c>
      <c r="M8" s="7">
        <f>$B8 * IFERROR(VLOOKUP("industry|PM25|Asthma symptoms wheeze", US_national_yearly!$D:$AM, 21, FALSE) / VLOOKUP("industry|PM25|Asthma symptoms wheeze", US_national_yearly!$D:$AM, 10, FALSE), 1)</f>
        <v>8.2510383322016809E-2</v>
      </c>
      <c r="N8" s="7">
        <f>$B8 * IFERROR(VLOOKUP("industry|PM25|Asthma symptoms wheeze", US_national_yearly!$D:$AM, 22, FALSE) / VLOOKUP("industry|PM25|Asthma symptoms wheeze", US_national_yearly!$D:$AM, 10, FALSE), 1)</f>
        <v>8.2510383322016809E-2</v>
      </c>
      <c r="O8" s="7">
        <f>$B8 * IFERROR(VLOOKUP("industry|PM25|Asthma symptoms wheeze", US_national_yearly!$D:$AM, 23, FALSE) / VLOOKUP("industry|PM25|Asthma symptoms wheeze", US_national_yearly!$D:$AM, 10, FALSE), 1)</f>
        <v>8.2510383322016809E-2</v>
      </c>
      <c r="P8" s="7">
        <f>$B8 * IFERROR(VLOOKUP("industry|PM25|Asthma symptoms wheeze", US_national_yearly!$D:$AM, 24, FALSE) / VLOOKUP("industry|PM25|Asthma symptoms wheeze", US_national_yearly!$D:$AM, 10, FALSE), 1)</f>
        <v>8.2510383322016809E-2</v>
      </c>
      <c r="Q8" s="7">
        <f>$B8 * IFERROR(VLOOKUP("industry|PM25|Asthma symptoms wheeze", US_national_yearly!$D:$AM, 25, FALSE) / VLOOKUP("industry|PM25|Asthma symptoms wheeze", US_national_yearly!$D:$AM, 10, FALSE), 1)</f>
        <v>8.2510383322016809E-2</v>
      </c>
      <c r="R8" s="7">
        <f>$B8 * IFERROR(VLOOKUP("industry|PM25|Asthma symptoms wheeze", US_national_yearly!$D:$AM, 26, FALSE) / VLOOKUP("industry|PM25|Asthma symptoms wheeze", US_national_yearly!$D:$AM, 10, FALSE), 1)</f>
        <v>8.2510383322016809E-2</v>
      </c>
      <c r="S8" s="7">
        <f>$B8 * IFERROR(VLOOKUP("industry|PM25|Asthma symptoms wheeze", US_national_yearly!$D:$AM, 27, FALSE) / VLOOKUP("industry|PM25|Asthma symptoms wheeze", US_national_yearly!$D:$AM, 10, FALSE), 1)</f>
        <v>8.2510383322016809E-2</v>
      </c>
      <c r="T8" s="7">
        <f>$B8 * IFERROR(VLOOKUP("industry|PM25|Asthma symptoms wheeze", US_national_yearly!$D:$AM, 28, FALSE) / VLOOKUP("industry|PM25|Asthma symptoms wheeze", US_national_yearly!$D:$AM, 10, FALSE), 1)</f>
        <v>8.2510383322016809E-2</v>
      </c>
      <c r="U8" s="7">
        <f>$B8 * IFERROR(VLOOKUP("industry|PM25|Asthma symptoms wheeze", US_national_yearly!$D:$AM, 29, FALSE) / VLOOKUP("industry|PM25|Asthma symptoms wheeze", US_national_yearly!$D:$AM, 10, FALSE), 1)</f>
        <v>8.2510383322016809E-2</v>
      </c>
      <c r="V8" s="7">
        <f>$B8 * IFERROR(VLOOKUP("industry|PM25|Asthma symptoms wheeze", US_national_yearly!$D:$AM, 30, FALSE) / VLOOKUP("industry|PM25|Asthma symptoms wheeze", US_national_yearly!$D:$AM, 10, FALSE), 1)</f>
        <v>8.2510383322016809E-2</v>
      </c>
      <c r="W8" s="7">
        <f>$B8 * IFERROR(VLOOKUP("industry|PM25|Asthma symptoms wheeze", US_national_yearly!$D:$AM, 31, FALSE) / VLOOKUP("industry|PM25|Asthma symptoms wheeze", US_national_yearly!$D:$AM, 10, FALSE), 1)</f>
        <v>8.2510383322016809E-2</v>
      </c>
      <c r="X8" s="7">
        <f>$B8 * IFERROR(VLOOKUP("industry|PM25|Asthma symptoms wheeze", US_national_yearly!$D:$AM, 32, FALSE) / VLOOKUP("industry|PM25|Asthma symptoms wheeze", US_national_yearly!$D:$AM, 10, FALSE), 1)</f>
        <v>8.2510383322016809E-2</v>
      </c>
      <c r="Y8" s="7">
        <f>$B8 * IFERROR(VLOOKUP("industry|PM25|Asthma symptoms wheeze", US_national_yearly!$D:$AM, 33, FALSE) / VLOOKUP("industry|PM25|Asthma symptoms wheeze", US_national_yearly!$D:$AM, 10, FALSE), 1)</f>
        <v>8.2510383322016809E-2</v>
      </c>
      <c r="Z8" s="7">
        <f>$B8 * IFERROR(VLOOKUP("industry|PM25|Asthma symptoms wheeze", US_national_yearly!$D:$AM, 34, FALSE) / VLOOKUP("industry|PM25|Asthma symptoms wheeze", US_national_yearly!$D:$AM, 10, FALSE), 1)</f>
        <v>8.2510383322016809E-2</v>
      </c>
      <c r="AA8" s="7">
        <f>$B8 * IFERROR(VLOOKUP("industry|PM25|Asthma symptoms wheeze", US_national_yearly!$D:$AM, 35, FALSE) / VLOOKUP("industry|PM25|Asthma symptoms wheeze", US_national_yearly!$D:$AM, 10, FALSE), 1)</f>
        <v>8.2510383322016809E-2</v>
      </c>
      <c r="AB8" s="7">
        <f>$B8 * IFERROR(VLOOKUP("industry|PM25|Asthma symptoms wheeze", US_national_yearly!$D:$AM, 36, FALSE) / VLOOKUP("industry|PM25|Asthma symptoms wheeze", US_national_yearly!$D:$AM, 10, FALSE), 1)</f>
        <v>8.2510383322016809E-2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3.5302894790086464E-3</v>
      </c>
      <c r="C12" s="7">
        <f>$B12 * IFERROR(VLOOKUP("industry|PM25|Respiratory hospital admissions", US_national_yearly!$D:$AM, 11, FALSE) / VLOOKUP("industry|PM25|Respiratory hospital admissions", US_national_yearly!$D:$AM, 10, FALSE), 1)</f>
        <v>3.5503329222589274E-3</v>
      </c>
      <c r="D12" s="7">
        <f>$B12 * IFERROR(VLOOKUP("industry|PM25|Respiratory hospital admissions", US_national_yearly!$D:$AM, 12, FALSE) / VLOOKUP("industry|PM25|Respiratory hospital admissions", US_national_yearly!$D:$AM, 10, FALSE), 1)</f>
        <v>3.5703763655092089E-3</v>
      </c>
      <c r="E12" s="7">
        <f>$B12 * IFERROR(VLOOKUP("industry|PM25|Respiratory hospital admissions", US_national_yearly!$D:$AM, 13, FALSE) / VLOOKUP("industry|PM25|Respiratory hospital admissions", US_national_yearly!$D:$AM, 10, FALSE), 1)</f>
        <v>3.59041980875949E-3</v>
      </c>
      <c r="F12" s="7">
        <f>$B12 * IFERROR(VLOOKUP("industry|PM25|Respiratory hospital admissions", US_national_yearly!$D:$AM, 14, FALSE) / VLOOKUP("industry|PM25|Respiratory hospital admissions", US_national_yearly!$D:$AM, 10, FALSE), 1)</f>
        <v>3.6104632520097719E-3</v>
      </c>
      <c r="G12" s="7">
        <f>$B12 * IFERROR(VLOOKUP("industry|PM25|Respiratory hospital admissions", US_national_yearly!$D:$AM, 15, FALSE) / VLOOKUP("industry|PM25|Respiratory hospital admissions", US_national_yearly!$D:$AM, 10, FALSE), 1)</f>
        <v>3.6321339947929521E-3</v>
      </c>
      <c r="H12" s="7">
        <f>$B12 * IFERROR(VLOOKUP("industry|PM25|Respiratory hospital admissions", US_national_yearly!$D:$AM, 16, FALSE) / VLOOKUP("industry|PM25|Respiratory hospital admissions", US_national_yearly!$D:$AM, 10, FALSE), 1)</f>
        <v>3.6538047375761326E-3</v>
      </c>
      <c r="I12" s="7">
        <f>$B12 * IFERROR(VLOOKUP("industry|PM25|Respiratory hospital admissions", US_national_yearly!$D:$AM, 17, FALSE) / VLOOKUP("industry|PM25|Respiratory hospital admissions", US_national_yearly!$D:$AM, 10, FALSE), 1)</f>
        <v>3.6743621634251979E-3</v>
      </c>
      <c r="J12" s="7">
        <f>$B12 * IFERROR(VLOOKUP("industry|PM25|Respiratory hospital admissions", US_national_yearly!$D:$AM, 18, FALSE) / VLOOKUP("industry|PM25|Respiratory hospital admissions", US_national_yearly!$D:$AM, 10, FALSE), 1)</f>
        <v>3.6949195892742631E-3</v>
      </c>
      <c r="K12" s="7">
        <f>$B12 * IFERROR(VLOOKUP("industry|PM25|Respiratory hospital admissions", US_national_yearly!$D:$AM, 19, FALSE) / VLOOKUP("industry|PM25|Respiratory hospital admissions", US_national_yearly!$D:$AM, 10, FALSE), 1)</f>
        <v>3.7154770151233271E-3</v>
      </c>
      <c r="L12" s="7">
        <f>$B12 * IFERROR(VLOOKUP("industry|PM25|Respiratory hospital admissions", US_national_yearly!$D:$AM, 20, FALSE) / VLOOKUP("industry|PM25|Respiratory hospital admissions", US_national_yearly!$D:$AM, 10, FALSE), 1)</f>
        <v>3.7360344409723923E-3</v>
      </c>
      <c r="M12" s="7">
        <f>$B12 * IFERROR(VLOOKUP("industry|PM25|Respiratory hospital admissions", US_national_yearly!$D:$AM, 21, FALSE) / VLOOKUP("industry|PM25|Respiratory hospital admissions", US_national_yearly!$D:$AM, 10, FALSE), 1)</f>
        <v>3.7565918668214576E-3</v>
      </c>
      <c r="N12" s="7">
        <f>$B12 * IFERROR(VLOOKUP("industry|PM25|Respiratory hospital admissions", US_national_yearly!$D:$AM, 22, FALSE) / VLOOKUP("industry|PM25|Respiratory hospital admissions", US_national_yearly!$D:$AM, 10, FALSE), 1)</f>
        <v>3.7711315582620681E-3</v>
      </c>
      <c r="O12" s="7">
        <f>$B12 * IFERROR(VLOOKUP("industry|PM25|Respiratory hospital admissions", US_national_yearly!$D:$AM, 23, FALSE) / VLOOKUP("industry|PM25|Respiratory hospital admissions", US_national_yearly!$D:$AM, 10, FALSE), 1)</f>
        <v>3.7856712497026782E-3</v>
      </c>
      <c r="P12" s="7">
        <f>$B12 * IFERROR(VLOOKUP("industry|PM25|Respiratory hospital admissions", US_national_yearly!$D:$AM, 24, FALSE) / VLOOKUP("industry|PM25|Respiratory hospital admissions", US_national_yearly!$D:$AM, 10, FALSE), 1)</f>
        <v>3.8002109411432888E-3</v>
      </c>
      <c r="Q12" s="7">
        <f>$B12 * IFERROR(VLOOKUP("industry|PM25|Respiratory hospital admissions", US_national_yearly!$D:$AM, 25, FALSE) / VLOOKUP("industry|PM25|Respiratory hospital admissions", US_national_yearly!$D:$AM, 10, FALSE), 1)</f>
        <v>3.8147506325838989E-3</v>
      </c>
      <c r="R12" s="7">
        <f>$B12 * IFERROR(VLOOKUP("industry|PM25|Respiratory hospital admissions", US_national_yearly!$D:$AM, 26, FALSE) / VLOOKUP("industry|PM25|Respiratory hospital admissions", US_national_yearly!$D:$AM, 10, FALSE), 1)</f>
        <v>3.8292903240245094E-3</v>
      </c>
      <c r="S12" s="7">
        <f>$B12 * IFERROR(VLOOKUP("industry|PM25|Respiratory hospital admissions", US_national_yearly!$D:$AM, 27, FALSE) / VLOOKUP("industry|PM25|Respiratory hospital admissions", US_national_yearly!$D:$AM, 10, FALSE), 1)</f>
        <v>3.8430038236329828E-3</v>
      </c>
      <c r="T12" s="7">
        <f>$B12 * IFERROR(VLOOKUP("industry|PM25|Respiratory hospital admissions", US_national_yearly!$D:$AM, 28, FALSE) / VLOOKUP("industry|PM25|Respiratory hospital admissions", US_national_yearly!$D:$AM, 10, FALSE), 1)</f>
        <v>3.8567173232414561E-3</v>
      </c>
      <c r="U12" s="7">
        <f>$B12 * IFERROR(VLOOKUP("industry|PM25|Respiratory hospital admissions", US_national_yearly!$D:$AM, 29, FALSE) / VLOOKUP("industry|PM25|Respiratory hospital admissions", US_national_yearly!$D:$AM, 10, FALSE), 1)</f>
        <v>3.8704308228499303E-3</v>
      </c>
      <c r="V12" s="7">
        <f>$B12 * IFERROR(VLOOKUP("industry|PM25|Respiratory hospital admissions", US_national_yearly!$D:$AM, 30, FALSE) / VLOOKUP("industry|PM25|Respiratory hospital admissions", US_national_yearly!$D:$AM, 10, FALSE), 1)</f>
        <v>3.8841443224584033E-3</v>
      </c>
      <c r="W12" s="7">
        <f>$B12 * IFERROR(VLOOKUP("industry|PM25|Respiratory hospital admissions", US_national_yearly!$D:$AM, 31, FALSE) / VLOOKUP("industry|PM25|Respiratory hospital admissions", US_national_yearly!$D:$AM, 10, FALSE), 1)</f>
        <v>3.8978578220668775E-3</v>
      </c>
      <c r="X12" s="7">
        <f>$B12 * IFERROR(VLOOKUP("industry|PM25|Respiratory hospital admissions", US_national_yearly!$D:$AM, 32, FALSE) / VLOOKUP("industry|PM25|Respiratory hospital admissions", US_national_yearly!$D:$AM, 10, FALSE), 1)</f>
        <v>3.9110619284356447E-3</v>
      </c>
      <c r="Y12" s="7">
        <f>$B12 * IFERROR(VLOOKUP("industry|PM25|Respiratory hospital admissions", US_national_yearly!$D:$AM, 33, FALSE) / VLOOKUP("industry|PM25|Respiratory hospital admissions", US_national_yearly!$D:$AM, 10, FALSE), 1)</f>
        <v>3.9242660348044111E-3</v>
      </c>
      <c r="Z12" s="7">
        <f>$B12 * IFERROR(VLOOKUP("industry|PM25|Respiratory hospital admissions", US_national_yearly!$D:$AM, 34, FALSE) / VLOOKUP("industry|PM25|Respiratory hospital admissions", US_national_yearly!$D:$AM, 10, FALSE), 1)</f>
        <v>3.9374701411731793E-3</v>
      </c>
      <c r="AA12" s="7">
        <f>$B12 * IFERROR(VLOOKUP("industry|PM25|Respiratory hospital admissions", US_national_yearly!$D:$AM, 35, FALSE) / VLOOKUP("industry|PM25|Respiratory hospital admissions", US_national_yearly!$D:$AM, 10, FALSE), 1)</f>
        <v>3.9506742475419474E-3</v>
      </c>
      <c r="AB12" s="7">
        <f>$B12 * IFERROR(VLOOKUP("industry|PM25|Respiratory hospital admissions", US_national_yearly!$D:$AM, 36, FALSE) / VLOOKUP("industry|PM25|Respiratory hospital admissions", US_national_yearly!$D:$AM, 10, FALSE), 1)</f>
        <v>3.9638783539107138E-3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2.1500720069050058E-2</v>
      </c>
      <c r="C13" s="7">
        <f>$B13 * IFERROR(VLOOKUP("industry|PM25|Non-fatal heart attacks", US_national_yearly!$D:$AM, 11, FALSE) / VLOOKUP("industry|PM25|Non-fatal heart attacks", US_national_yearly!$D:$AM, 10, FALSE), 1)</f>
        <v>2.2126611667876026E-2</v>
      </c>
      <c r="D13" s="7">
        <f>$B13 * IFERROR(VLOOKUP("industry|PM25|Non-fatal heart attacks", US_national_yearly!$D:$AM, 12, FALSE) / VLOOKUP("industry|PM25|Non-fatal heart attacks", US_national_yearly!$D:$AM, 10, FALSE), 1)</f>
        <v>2.2752503266701987E-2</v>
      </c>
      <c r="E13" s="7">
        <f>$B13 * IFERROR(VLOOKUP("industry|PM25|Non-fatal heart attacks", US_national_yearly!$D:$AM, 13, FALSE) / VLOOKUP("industry|PM25|Non-fatal heart attacks", US_national_yearly!$D:$AM, 10, FALSE), 1)</f>
        <v>2.3378394865527955E-2</v>
      </c>
      <c r="F13" s="7">
        <f>$B13 * IFERROR(VLOOKUP("industry|PM25|Non-fatal heart attacks", US_national_yearly!$D:$AM, 14, FALSE) / VLOOKUP("industry|PM25|Non-fatal heart attacks", US_national_yearly!$D:$AM, 10, FALSE), 1)</f>
        <v>2.4004286464353923E-2</v>
      </c>
      <c r="G13" s="7">
        <f>$B13 * IFERROR(VLOOKUP("industry|PM25|Non-fatal heart attacks", US_national_yearly!$D:$AM, 15, FALSE) / VLOOKUP("industry|PM25|Non-fatal heart attacks", US_national_yearly!$D:$AM, 10, FALSE), 1)</f>
        <v>2.4595172142104514E-2</v>
      </c>
      <c r="H13" s="7">
        <f>$B13 * IFERROR(VLOOKUP("industry|PM25|Non-fatal heart attacks", US_national_yearly!$D:$AM, 16, FALSE) / VLOOKUP("industry|PM25|Non-fatal heart attacks", US_national_yearly!$D:$AM, 10, FALSE), 1)</f>
        <v>2.5186057819855105E-2</v>
      </c>
      <c r="I13" s="7">
        <f>$B13 * IFERROR(VLOOKUP("industry|PM25|Non-fatal heart attacks", US_national_yearly!$D:$AM, 17, FALSE) / VLOOKUP("industry|PM25|Non-fatal heart attacks", US_national_yearly!$D:$AM, 10, FALSE), 1)</f>
        <v>2.5663203461605239E-2</v>
      </c>
      <c r="J13" s="7">
        <f>$B13 * IFERROR(VLOOKUP("industry|PM25|Non-fatal heart attacks", US_national_yearly!$D:$AM, 18, FALSE) / VLOOKUP("industry|PM25|Non-fatal heart attacks", US_national_yearly!$D:$AM, 10, FALSE), 1)</f>
        <v>2.614034910335537E-2</v>
      </c>
      <c r="K13" s="7">
        <f>$B13 * IFERROR(VLOOKUP("industry|PM25|Non-fatal heart attacks", US_national_yearly!$D:$AM, 19, FALSE) / VLOOKUP("industry|PM25|Non-fatal heart attacks", US_national_yearly!$D:$AM, 10, FALSE), 1)</f>
        <v>2.6617494745105497E-2</v>
      </c>
      <c r="L13" s="7">
        <f>$B13 * IFERROR(VLOOKUP("industry|PM25|Non-fatal heart attacks", US_national_yearly!$D:$AM, 20, FALSE) / VLOOKUP("industry|PM25|Non-fatal heart attacks", US_national_yearly!$D:$AM, 10, FALSE), 1)</f>
        <v>2.7094640386855624E-2</v>
      </c>
      <c r="M13" s="7">
        <f>$B13 * IFERROR(VLOOKUP("industry|PM25|Non-fatal heart attacks", US_national_yearly!$D:$AM, 21, FALSE) / VLOOKUP("industry|PM25|Non-fatal heart attacks", US_national_yearly!$D:$AM, 10, FALSE), 1)</f>
        <v>2.7571786028605754E-2</v>
      </c>
      <c r="N13" s="7">
        <f>$B13 * IFERROR(VLOOKUP("industry|PM25|Non-fatal heart attacks", US_national_yearly!$D:$AM, 22, FALSE) / VLOOKUP("industry|PM25|Non-fatal heart attacks", US_national_yearly!$D:$AM, 10, FALSE), 1)</f>
        <v>2.7880287258679859E-2</v>
      </c>
      <c r="O13" s="7">
        <f>$B13 * IFERROR(VLOOKUP("industry|PM25|Non-fatal heart attacks", US_national_yearly!$D:$AM, 23, FALSE) / VLOOKUP("industry|PM25|Non-fatal heart attacks", US_national_yearly!$D:$AM, 10, FALSE), 1)</f>
        <v>2.818878848875396E-2</v>
      </c>
      <c r="P13" s="7">
        <f>$B13 * IFERROR(VLOOKUP("industry|PM25|Non-fatal heart attacks", US_national_yearly!$D:$AM, 24, FALSE) / VLOOKUP("industry|PM25|Non-fatal heart attacks", US_national_yearly!$D:$AM, 10, FALSE), 1)</f>
        <v>2.8497289718828065E-2</v>
      </c>
      <c r="Q13" s="7">
        <f>$B13 * IFERROR(VLOOKUP("industry|PM25|Non-fatal heart attacks", US_national_yearly!$D:$AM, 25, FALSE) / VLOOKUP("industry|PM25|Non-fatal heart attacks", US_national_yearly!$D:$AM, 10, FALSE), 1)</f>
        <v>2.8805790948902163E-2</v>
      </c>
      <c r="R13" s="7">
        <f>$B13 * IFERROR(VLOOKUP("industry|PM25|Non-fatal heart attacks", US_national_yearly!$D:$AM, 26, FALSE) / VLOOKUP("industry|PM25|Non-fatal heart attacks", US_national_yearly!$D:$AM, 10, FALSE), 1)</f>
        <v>2.9114292178976268E-2</v>
      </c>
      <c r="S13" s="7">
        <f>$B13 * IFERROR(VLOOKUP("industry|PM25|Non-fatal heart attacks", US_national_yearly!$D:$AM, 27, FALSE) / VLOOKUP("industry|PM25|Non-fatal heart attacks", US_national_yearly!$D:$AM, 10, FALSE), 1)</f>
        <v>2.9279063855070307E-2</v>
      </c>
      <c r="T13" s="7">
        <f>$B13 * IFERROR(VLOOKUP("industry|PM25|Non-fatal heart attacks", US_national_yearly!$D:$AM, 28, FALSE) / VLOOKUP("industry|PM25|Non-fatal heart attacks", US_national_yearly!$D:$AM, 10, FALSE), 1)</f>
        <v>2.9443835531164357E-2</v>
      </c>
      <c r="U13" s="7">
        <f>$B13 * IFERROR(VLOOKUP("industry|PM25|Non-fatal heart attacks", US_national_yearly!$D:$AM, 29, FALSE) / VLOOKUP("industry|PM25|Non-fatal heart attacks", US_national_yearly!$D:$AM, 10, FALSE), 1)</f>
        <v>2.96086072072584E-2</v>
      </c>
      <c r="V13" s="7">
        <f>$B13 * IFERROR(VLOOKUP("industry|PM25|Non-fatal heart attacks", US_national_yearly!$D:$AM, 30, FALSE) / VLOOKUP("industry|PM25|Non-fatal heart attacks", US_national_yearly!$D:$AM, 10, FALSE), 1)</f>
        <v>2.9773378883352439E-2</v>
      </c>
      <c r="W13" s="7">
        <f>$B13 * IFERROR(VLOOKUP("industry|PM25|Non-fatal heart attacks", US_national_yearly!$D:$AM, 31, FALSE) / VLOOKUP("industry|PM25|Non-fatal heart attacks", US_national_yearly!$D:$AM, 10, FALSE), 1)</f>
        <v>2.9938150559446489E-2</v>
      </c>
      <c r="X13" s="7">
        <f>$B13 * IFERROR(VLOOKUP("industry|PM25|Non-fatal heart attacks", US_national_yearly!$D:$AM, 32, FALSE) / VLOOKUP("industry|PM25|Non-fatal heart attacks", US_national_yearly!$D:$AM, 10, FALSE), 1)</f>
        <v>3.0065320275753142E-2</v>
      </c>
      <c r="Y13" s="7">
        <f>$B13 * IFERROR(VLOOKUP("industry|PM25|Non-fatal heart attacks", US_national_yearly!$D:$AM, 33, FALSE) / VLOOKUP("industry|PM25|Non-fatal heart attacks", US_national_yearly!$D:$AM, 10, FALSE), 1)</f>
        <v>3.0192489992059795E-2</v>
      </c>
      <c r="Z13" s="7">
        <f>$B13 * IFERROR(VLOOKUP("industry|PM25|Non-fatal heart attacks", US_national_yearly!$D:$AM, 34, FALSE) / VLOOKUP("industry|PM25|Non-fatal heart attacks", US_national_yearly!$D:$AM, 10, FALSE), 1)</f>
        <v>3.0319659708366448E-2</v>
      </c>
      <c r="AA13" s="7">
        <f>$B13 * IFERROR(VLOOKUP("industry|PM25|Non-fatal heart attacks", US_national_yearly!$D:$AM, 35, FALSE) / VLOOKUP("industry|PM25|Non-fatal heart attacks", US_national_yearly!$D:$AM, 10, FALSE), 1)</f>
        <v>3.0446829424673104E-2</v>
      </c>
      <c r="AB13" s="7">
        <f>$B13 * IFERROR(VLOOKUP("industry|PM25|Non-fatal heart attacks", US_national_yearly!$D:$AM, 36, FALSE) / VLOOKUP("industry|PM25|Non-fatal heart attacks", US_national_yearly!$D:$AM, 10, FALSE), 1)</f>
        <v>3.0573999140979757E-2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5.0231937877451154</v>
      </c>
      <c r="C14" s="7">
        <f>$B14 * IFERROR(VLOOKUP("industry|PM25|Minor restricted activity days", US_national_yearly!$D:$AM, 11, FALSE) / VLOOKUP("industry|PM25|Minor restricted activity days", US_national_yearly!$D:$AM, 10, FALSE), 1)</f>
        <v>5.035496421954722</v>
      </c>
      <c r="D14" s="7">
        <f>$B14 * IFERROR(VLOOKUP("industry|PM25|Minor restricted activity days", US_national_yearly!$D:$AM, 12, FALSE) / VLOOKUP("industry|PM25|Minor restricted activity days", US_national_yearly!$D:$AM, 10, FALSE), 1)</f>
        <v>5.0477990561643287</v>
      </c>
      <c r="E14" s="7">
        <f>$B14 * IFERROR(VLOOKUP("industry|PM25|Minor restricted activity days", US_national_yearly!$D:$AM, 13, FALSE) / VLOOKUP("industry|PM25|Minor restricted activity days", US_national_yearly!$D:$AM, 10, FALSE), 1)</f>
        <v>5.0601016903739353</v>
      </c>
      <c r="F14" s="7">
        <f>$B14 * IFERROR(VLOOKUP("industry|PM25|Minor restricted activity days", US_national_yearly!$D:$AM, 14, FALSE) / VLOOKUP("industry|PM25|Minor restricted activity days", US_national_yearly!$D:$AM, 10, FALSE), 1)</f>
        <v>5.0724043245835411</v>
      </c>
      <c r="G14" s="7">
        <f>$B14 * IFERROR(VLOOKUP("industry|PM25|Minor restricted activity days", US_national_yearly!$D:$AM, 15, FALSE) / VLOOKUP("industry|PM25|Minor restricted activity days", US_national_yearly!$D:$AM, 10, FALSE), 1)</f>
        <v>5.0904625920724822</v>
      </c>
      <c r="H14" s="7">
        <f>$B14 * IFERROR(VLOOKUP("industry|PM25|Minor restricted activity days", US_national_yearly!$D:$AM, 16, FALSE) / VLOOKUP("industry|PM25|Minor restricted activity days", US_national_yearly!$D:$AM, 10, FALSE), 1)</f>
        <v>5.1085208595614224</v>
      </c>
      <c r="I14" s="7">
        <f>$B14 * IFERROR(VLOOKUP("industry|PM25|Minor restricted activity days", US_national_yearly!$D:$AM, 17, FALSE) / VLOOKUP("industry|PM25|Minor restricted activity days", US_national_yearly!$D:$AM, 10, FALSE), 1)</f>
        <v>5.1391972127495453</v>
      </c>
      <c r="J14" s="7">
        <f>$B14 * IFERROR(VLOOKUP("industry|PM25|Minor restricted activity days", US_national_yearly!$D:$AM, 18, FALSE) / VLOOKUP("industry|PM25|Minor restricted activity days", US_national_yearly!$D:$AM, 10, FALSE), 1)</f>
        <v>5.1698735659376691</v>
      </c>
      <c r="K14" s="7">
        <f>$B14 * IFERROR(VLOOKUP("industry|PM25|Minor restricted activity days", US_national_yearly!$D:$AM, 19, FALSE) / VLOOKUP("industry|PM25|Minor restricted activity days", US_national_yearly!$D:$AM, 10, FALSE), 1)</f>
        <v>5.2005499191257911</v>
      </c>
      <c r="L14" s="7">
        <f>$B14 * IFERROR(VLOOKUP("industry|PM25|Minor restricted activity days", US_national_yearly!$D:$AM, 20, FALSE) / VLOOKUP("industry|PM25|Minor restricted activity days", US_national_yearly!$D:$AM, 10, FALSE), 1)</f>
        <v>5.231226272313914</v>
      </c>
      <c r="M14" s="7">
        <f>$B14 * IFERROR(VLOOKUP("industry|PM25|Minor restricted activity days", US_national_yearly!$D:$AM, 21, FALSE) / VLOOKUP("industry|PM25|Minor restricted activity days", US_national_yearly!$D:$AM, 10, FALSE), 1)</f>
        <v>5.2619026255020378</v>
      </c>
      <c r="N14" s="7">
        <f>$B14 * IFERROR(VLOOKUP("industry|PM25|Minor restricted activity days", US_national_yearly!$D:$AM, 22, FALSE) / VLOOKUP("industry|PM25|Minor restricted activity days", US_national_yearly!$D:$AM, 10, FALSE), 1)</f>
        <v>5.3038095529686613</v>
      </c>
      <c r="O14" s="7">
        <f>$B14 * IFERROR(VLOOKUP("industry|PM25|Minor restricted activity days", US_national_yearly!$D:$AM, 23, FALSE) / VLOOKUP("industry|PM25|Minor restricted activity days", US_national_yearly!$D:$AM, 10, FALSE), 1)</f>
        <v>5.3457164804352901</v>
      </c>
      <c r="P14" s="7">
        <f>$B14 * IFERROR(VLOOKUP("industry|PM25|Minor restricted activity days", US_national_yearly!$D:$AM, 24, FALSE) / VLOOKUP("industry|PM25|Minor restricted activity days", US_national_yearly!$D:$AM, 10, FALSE), 1)</f>
        <v>5.3876234079019145</v>
      </c>
      <c r="Q14" s="7">
        <f>$B14 * IFERROR(VLOOKUP("industry|PM25|Minor restricted activity days", US_national_yearly!$D:$AM, 25, FALSE) / VLOOKUP("industry|PM25|Minor restricted activity days", US_national_yearly!$D:$AM, 10, FALSE), 1)</f>
        <v>5.4295303353685442</v>
      </c>
      <c r="R14" s="7">
        <f>$B14 * IFERROR(VLOOKUP("industry|PM25|Minor restricted activity days", US_national_yearly!$D:$AM, 26, FALSE) / VLOOKUP("industry|PM25|Minor restricted activity days", US_national_yearly!$D:$AM, 10, FALSE), 1)</f>
        <v>5.4714372628351677</v>
      </c>
      <c r="S14" s="7">
        <f>$B14 * IFERROR(VLOOKUP("industry|PM25|Minor restricted activity days", US_national_yearly!$D:$AM, 27, FALSE) / VLOOKUP("industry|PM25|Minor restricted activity days", US_national_yearly!$D:$AM, 10, FALSE), 1)</f>
        <v>5.5137465131951471</v>
      </c>
      <c r="T14" s="7">
        <f>$B14 * IFERROR(VLOOKUP("industry|PM25|Minor restricted activity days", US_national_yearly!$D:$AM, 28, FALSE) / VLOOKUP("industry|PM25|Minor restricted activity days", US_national_yearly!$D:$AM, 10, FALSE), 1)</f>
        <v>5.5560557635551264</v>
      </c>
      <c r="U14" s="7">
        <f>$B14 * IFERROR(VLOOKUP("industry|PM25|Minor restricted activity days", US_national_yearly!$D:$AM, 29, FALSE) / VLOOKUP("industry|PM25|Minor restricted activity days", US_national_yearly!$D:$AM, 10, FALSE), 1)</f>
        <v>5.5983650139151049</v>
      </c>
      <c r="V14" s="7">
        <f>$B14 * IFERROR(VLOOKUP("industry|PM25|Minor restricted activity days", US_national_yearly!$D:$AM, 30, FALSE) / VLOOKUP("industry|PM25|Minor restricted activity days", US_national_yearly!$D:$AM, 10, FALSE), 1)</f>
        <v>5.6406742642750833</v>
      </c>
      <c r="W14" s="7">
        <f>$B14 * IFERROR(VLOOKUP("industry|PM25|Minor restricted activity days", US_national_yearly!$D:$AM, 31, FALSE) / VLOOKUP("industry|PM25|Minor restricted activity days", US_national_yearly!$D:$AM, 10, FALSE), 1)</f>
        <v>5.6829835146350636</v>
      </c>
      <c r="X14" s="7">
        <f>$B14 * IFERROR(VLOOKUP("industry|PM25|Minor restricted activity days", US_national_yearly!$D:$AM, 32, FALSE) / VLOOKUP("industry|PM25|Minor restricted activity days", US_national_yearly!$D:$AM, 10, FALSE), 1)</f>
        <v>5.7197487037070882</v>
      </c>
      <c r="Y14" s="7">
        <f>$B14 * IFERROR(VLOOKUP("industry|PM25|Minor restricted activity days", US_national_yearly!$D:$AM, 33, FALSE) / VLOOKUP("industry|PM25|Minor restricted activity days", US_national_yearly!$D:$AM, 10, FALSE), 1)</f>
        <v>5.7565138927791137</v>
      </c>
      <c r="Z14" s="7">
        <f>$B14 * IFERROR(VLOOKUP("industry|PM25|Minor restricted activity days", US_national_yearly!$D:$AM, 34, FALSE) / VLOOKUP("industry|PM25|Minor restricted activity days", US_national_yearly!$D:$AM, 10, FALSE), 1)</f>
        <v>5.7932790818511393</v>
      </c>
      <c r="AA14" s="7">
        <f>$B14 * IFERROR(VLOOKUP("industry|PM25|Minor restricted activity days", US_national_yearly!$D:$AM, 35, FALSE) / VLOOKUP("industry|PM25|Minor restricted activity days", US_national_yearly!$D:$AM, 10, FALSE), 1)</f>
        <v>5.8300442709231648</v>
      </c>
      <c r="AB14" s="7">
        <f>$B14 * IFERROR(VLOOKUP("industry|PM25|Minor restricted activity days", US_national_yearly!$D:$AM, 36, FALSE) / VLOOKUP("industry|PM25|Minor restricted activity days", US_national_yearly!$D:$AM, 10, FALSE), 1)</f>
        <v>5.8668094599951903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0.85140631049735915</v>
      </c>
      <c r="C15" s="7">
        <f>$B15 * IFERROR(VLOOKUP("industry|PM25|Work loss days", US_national_yearly!$D:$AM, 11, FALSE) / VLOOKUP("industry|PM25|Work loss days", US_national_yearly!$D:$AM, 10, FALSE), 1)</f>
        <v>0.85404601189912233</v>
      </c>
      <c r="D15" s="7">
        <f>$B15 * IFERROR(VLOOKUP("industry|PM25|Work loss days", US_national_yearly!$D:$AM, 12, FALSE) / VLOOKUP("industry|PM25|Work loss days", US_national_yearly!$D:$AM, 10, FALSE), 1)</f>
        <v>0.8566857133008855</v>
      </c>
      <c r="E15" s="7">
        <f>$B15 * IFERROR(VLOOKUP("industry|PM25|Work loss days", US_national_yearly!$D:$AM, 13, FALSE) / VLOOKUP("industry|PM25|Work loss days", US_national_yearly!$D:$AM, 10, FALSE), 1)</f>
        <v>0.85932541470264845</v>
      </c>
      <c r="F15" s="7">
        <f>$B15 * IFERROR(VLOOKUP("industry|PM25|Work loss days", US_national_yearly!$D:$AM, 14, FALSE) / VLOOKUP("industry|PM25|Work loss days", US_national_yearly!$D:$AM, 10, FALSE), 1)</f>
        <v>0.86196511610441162</v>
      </c>
      <c r="G15" s="7">
        <f>$B15 * IFERROR(VLOOKUP("industry|PM25|Work loss days", US_national_yearly!$D:$AM, 15, FALSE) / VLOOKUP("industry|PM25|Work loss days", US_national_yearly!$D:$AM, 10, FALSE), 1)</f>
        <v>0.86541136186332179</v>
      </c>
      <c r="H15" s="7">
        <f>$B15 * IFERROR(VLOOKUP("industry|PM25|Work loss days", US_national_yearly!$D:$AM, 16, FALSE) / VLOOKUP("industry|PM25|Work loss days", US_national_yearly!$D:$AM, 10, FALSE), 1)</f>
        <v>0.86885760762223196</v>
      </c>
      <c r="I15" s="7">
        <f>$B15 * IFERROR(VLOOKUP("industry|PM25|Work loss days", US_national_yearly!$D:$AM, 17, FALSE) / VLOOKUP("industry|PM25|Work loss days", US_national_yearly!$D:$AM, 10, FALSE), 1)</f>
        <v>0.8739040082286067</v>
      </c>
      <c r="J15" s="7">
        <f>$B15 * IFERROR(VLOOKUP("industry|PM25|Work loss days", US_national_yearly!$D:$AM, 18, FALSE) / VLOOKUP("industry|PM25|Work loss days", US_national_yearly!$D:$AM, 10, FALSE), 1)</f>
        <v>0.87895040883498154</v>
      </c>
      <c r="K15" s="7">
        <f>$B15 * IFERROR(VLOOKUP("industry|PM25|Work loss days", US_national_yearly!$D:$AM, 19, FALSE) / VLOOKUP("industry|PM25|Work loss days", US_national_yearly!$D:$AM, 10, FALSE), 1)</f>
        <v>0.88399680944135617</v>
      </c>
      <c r="L15" s="7">
        <f>$B15 * IFERROR(VLOOKUP("industry|PM25|Work loss days", US_national_yearly!$D:$AM, 20, FALSE) / VLOOKUP("industry|PM25|Work loss days", US_national_yearly!$D:$AM, 10, FALSE), 1)</f>
        <v>0.8890432100477309</v>
      </c>
      <c r="M15" s="7">
        <f>$B15 * IFERROR(VLOOKUP("industry|PM25|Work loss days", US_national_yearly!$D:$AM, 21, FALSE) / VLOOKUP("industry|PM25|Work loss days", US_national_yearly!$D:$AM, 10, FALSE), 1)</f>
        <v>0.89408961065410575</v>
      </c>
      <c r="N15" s="7">
        <f>$B15 * IFERROR(VLOOKUP("industry|PM25|Work loss days", US_national_yearly!$D:$AM, 22, FALSE) / VLOOKUP("industry|PM25|Work loss days", US_national_yearly!$D:$AM, 10, FALSE), 1)</f>
        <v>0.9004575058394747</v>
      </c>
      <c r="O15" s="7">
        <f>$B15 * IFERROR(VLOOKUP("industry|PM25|Work loss days", US_national_yearly!$D:$AM, 23, FALSE) / VLOOKUP("industry|PM25|Work loss days", US_national_yearly!$D:$AM, 10, FALSE), 1)</f>
        <v>0.90682540102484366</v>
      </c>
      <c r="P15" s="7">
        <f>$B15 * IFERROR(VLOOKUP("industry|PM25|Work loss days", US_national_yearly!$D:$AM, 24, FALSE) / VLOOKUP("industry|PM25|Work loss days", US_national_yearly!$D:$AM, 10, FALSE), 1)</f>
        <v>0.91319329621021239</v>
      </c>
      <c r="Q15" s="7">
        <f>$B15 * IFERROR(VLOOKUP("industry|PM25|Work loss days", US_national_yearly!$D:$AM, 25, FALSE) / VLOOKUP("industry|PM25|Work loss days", US_national_yearly!$D:$AM, 10, FALSE), 1)</f>
        <v>0.91956119139558135</v>
      </c>
      <c r="R15" s="7">
        <f>$B15 * IFERROR(VLOOKUP("industry|PM25|Work loss days", US_national_yearly!$D:$AM, 26, FALSE) / VLOOKUP("industry|PM25|Work loss days", US_national_yearly!$D:$AM, 10, FALSE), 1)</f>
        <v>0.92592908658095008</v>
      </c>
      <c r="S15" s="7">
        <f>$B15 * IFERROR(VLOOKUP("industry|PM25|Work loss days", US_national_yearly!$D:$AM, 27, FALSE) / VLOOKUP("industry|PM25|Work loss days", US_national_yearly!$D:$AM, 10, FALSE), 1)</f>
        <v>0.93299017957473185</v>
      </c>
      <c r="T15" s="7">
        <f>$B15 * IFERROR(VLOOKUP("industry|PM25|Work loss days", US_national_yearly!$D:$AM, 28, FALSE) / VLOOKUP("industry|PM25|Work loss days", US_national_yearly!$D:$AM, 10, FALSE), 1)</f>
        <v>0.94005127256851351</v>
      </c>
      <c r="U15" s="7">
        <f>$B15 * IFERROR(VLOOKUP("industry|PM25|Work loss days", US_national_yearly!$D:$AM, 29, FALSE) / VLOOKUP("industry|PM25|Work loss days", US_national_yearly!$D:$AM, 10, FALSE), 1)</f>
        <v>0.94711236556229517</v>
      </c>
      <c r="V15" s="7">
        <f>$B15 * IFERROR(VLOOKUP("industry|PM25|Work loss days", US_national_yearly!$D:$AM, 30, FALSE) / VLOOKUP("industry|PM25|Work loss days", US_national_yearly!$D:$AM, 10, FALSE), 1)</f>
        <v>0.95417345855607683</v>
      </c>
      <c r="W15" s="7">
        <f>$B15 * IFERROR(VLOOKUP("industry|PM25|Work loss days", US_national_yearly!$D:$AM, 31, FALSE) / VLOOKUP("industry|PM25|Work loss days", US_national_yearly!$D:$AM, 10, FALSE), 1)</f>
        <v>0.9612345515498586</v>
      </c>
      <c r="X15" s="7">
        <f>$B15 * IFERROR(VLOOKUP("industry|PM25|Work loss days", US_national_yearly!$D:$AM, 32, FALSE) / VLOOKUP("industry|PM25|Work loss days", US_national_yearly!$D:$AM, 10, FALSE), 1)</f>
        <v>0.967509261138224</v>
      </c>
      <c r="Y15" s="7">
        <f>$B15 * IFERROR(VLOOKUP("industry|PM25|Work loss days", US_national_yearly!$D:$AM, 33, FALSE) / VLOOKUP("industry|PM25|Work loss days", US_national_yearly!$D:$AM, 10, FALSE), 1)</f>
        <v>0.97378397072658962</v>
      </c>
      <c r="Z15" s="7">
        <f>$B15 * IFERROR(VLOOKUP("industry|PM25|Work loss days", US_national_yearly!$D:$AM, 34, FALSE) / VLOOKUP("industry|PM25|Work loss days", US_national_yearly!$D:$AM, 10, FALSE), 1)</f>
        <v>0.98005868031495524</v>
      </c>
      <c r="AA15" s="7">
        <f>$B15 * IFERROR(VLOOKUP("industry|PM25|Work loss days", US_national_yearly!$D:$AM, 35, FALSE) / VLOOKUP("industry|PM25|Work loss days", US_national_yearly!$D:$AM, 10, FALSE), 1)</f>
        <v>0.98633338990332065</v>
      </c>
      <c r="AB15" s="7">
        <f>$B15 * IFERROR(VLOOKUP("industry|PM25|Work loss days", US_national_yearly!$D:$AM, 36, FALSE) / VLOOKUP("industry|PM25|Work loss days", US_national_yearly!$D:$AM, 10, FALSE), 1)</f>
        <v>0.99260809949168627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5.3392997579845463E-3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5.499001636880445E-3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5.6587035157763437E-3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5.8184053946722424E-3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5.9781072735681402E-3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6.1311700133838201E-3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6.2842327531995E-3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6.4156505288900378E-3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6.5470683045805739E-3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6.6784860802711126E-3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6.8099038559616505E-3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6.9413216316521883E-3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7.0291092012779071E-3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7.1168967709036223E-3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7.2046843405293402E-3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7.2924719101550572E-3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7.3802594797807743E-3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7.4272939306902191E-3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7.4743283815996648E-3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7.5213628325091113E-3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7.5683972834185553E-3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7.6154317343280009E-3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7.6477300357041889E-3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7.6800283370803742E-3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7.7123266384565613E-3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7.7446249398327466E-3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7.7769232412089337E-3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2.9022760702458516E-4</v>
      </c>
      <c r="C2" s="7">
        <f>$B2 * IFERROR(VLOOKUP("industry|NOx|Premature mortality", US_national_yearly!$D:$AM, 11, FALSE) / VLOOKUP("industry|NOx|Premature mortality", US_national_yearly!$D:$AM, 10, FALSE), 1)</f>
        <v>2.9451912647115752E-4</v>
      </c>
      <c r="D2" s="7">
        <f>$B2 * IFERROR(VLOOKUP("industry|NOx|Premature mortality", US_national_yearly!$D:$AM, 12, FALSE) / VLOOKUP("industry|NOx|Premature mortality", US_national_yearly!$D:$AM, 10, FALSE), 1)</f>
        <v>2.9881064591772999E-4</v>
      </c>
      <c r="E2" s="7">
        <f>$B2 * IFERROR(VLOOKUP("industry|NOx|Premature mortality", US_national_yearly!$D:$AM, 13, FALSE) / VLOOKUP("industry|NOx|Premature mortality", US_national_yearly!$D:$AM, 10, FALSE), 1)</f>
        <v>3.0310216536430236E-4</v>
      </c>
      <c r="F2" s="7">
        <f>$B2 * IFERROR(VLOOKUP("industry|NOx|Premature mortality", US_national_yearly!$D:$AM, 14, FALSE) / VLOOKUP("industry|NOx|Premature mortality", US_national_yearly!$D:$AM, 10, FALSE), 1)</f>
        <v>3.0739368481087477E-4</v>
      </c>
      <c r="G2" s="7">
        <f>$B2 * IFERROR(VLOOKUP("industry|NOx|Premature mortality", US_national_yearly!$D:$AM, 15, FALSE) / VLOOKUP("industry|NOx|Premature mortality", US_national_yearly!$D:$AM, 10, FALSE), 1)</f>
        <v>3.1508998627747137E-4</v>
      </c>
      <c r="H2" s="7">
        <f>$B2 * IFERROR(VLOOKUP("industry|NOx|Premature mortality", US_national_yearly!$D:$AM, 16, FALSE) / VLOOKUP("industry|NOx|Premature mortality", US_national_yearly!$D:$AM, 10, FALSE), 1)</f>
        <v>3.2278628774406792E-4</v>
      </c>
      <c r="I2" s="7">
        <f>$B2 * IFERROR(VLOOKUP("industry|NOx|Premature mortality", US_national_yearly!$D:$AM, 17, FALSE) / VLOOKUP("industry|NOx|Premature mortality", US_national_yearly!$D:$AM, 10, FALSE), 1)</f>
        <v>3.2777913747427821E-4</v>
      </c>
      <c r="J2" s="7">
        <f>$B2 * IFERROR(VLOOKUP("industry|NOx|Premature mortality", US_national_yearly!$D:$AM, 18, FALSE) / VLOOKUP("industry|NOx|Premature mortality", US_national_yearly!$D:$AM, 10, FALSE), 1)</f>
        <v>3.327719872044885E-4</v>
      </c>
      <c r="K2" s="7">
        <f>$B2 * IFERROR(VLOOKUP("industry|NOx|Premature mortality", US_national_yearly!$D:$AM, 19, FALSE) / VLOOKUP("industry|NOx|Premature mortality", US_national_yearly!$D:$AM, 10, FALSE), 1)</f>
        <v>3.377648369346989E-4</v>
      </c>
      <c r="L2" s="7">
        <f>$B2 * IFERROR(VLOOKUP("industry|NOx|Premature mortality", US_national_yearly!$D:$AM, 20, FALSE) / VLOOKUP("industry|NOx|Premature mortality", US_national_yearly!$D:$AM, 10, FALSE), 1)</f>
        <v>3.4275768666490919E-4</v>
      </c>
      <c r="M2" s="7">
        <f>$B2 * IFERROR(VLOOKUP("industry|NOx|Premature mortality", US_national_yearly!$D:$AM, 21, FALSE) / VLOOKUP("industry|NOx|Premature mortality", US_national_yearly!$D:$AM, 10, FALSE), 1)</f>
        <v>3.4775053639511948E-4</v>
      </c>
      <c r="N2" s="7">
        <f>$B2 * IFERROR(VLOOKUP("industry|NOx|Premature mortality", US_national_yearly!$D:$AM, 22, FALSE) / VLOOKUP("industry|NOx|Premature mortality", US_national_yearly!$D:$AM, 10, FALSE), 1)</f>
        <v>3.5146586811358891E-4</v>
      </c>
      <c r="O2" s="7">
        <f>$B2 * IFERROR(VLOOKUP("industry|NOx|Premature mortality", US_national_yearly!$D:$AM, 23, FALSE) / VLOOKUP("industry|NOx|Premature mortality", US_national_yearly!$D:$AM, 10, FALSE), 1)</f>
        <v>3.5518119983205828E-4</v>
      </c>
      <c r="P2" s="7">
        <f>$B2 * IFERROR(VLOOKUP("industry|NOx|Premature mortality", US_national_yearly!$D:$AM, 24, FALSE) / VLOOKUP("industry|NOx|Premature mortality", US_national_yearly!$D:$AM, 10, FALSE), 1)</f>
        <v>3.5889653155052759E-4</v>
      </c>
      <c r="Q2" s="7">
        <f>$B2 * IFERROR(VLOOKUP("industry|NOx|Premature mortality", US_national_yearly!$D:$AM, 25, FALSE) / VLOOKUP("industry|NOx|Premature mortality", US_national_yearly!$D:$AM, 10, FALSE), 1)</f>
        <v>3.6261186326899696E-4</v>
      </c>
      <c r="R2" s="7">
        <f>$B2 * IFERROR(VLOOKUP("industry|NOx|Premature mortality", US_national_yearly!$D:$AM, 26, FALSE) / VLOOKUP("industry|NOx|Premature mortality", US_national_yearly!$D:$AM, 10, FALSE), 1)</f>
        <v>3.6632719498746634E-4</v>
      </c>
      <c r="S2" s="7">
        <f>$B2 * IFERROR(VLOOKUP("industry|NOx|Premature mortality", US_national_yearly!$D:$AM, 27, FALSE) / VLOOKUP("industry|NOx|Premature mortality", US_national_yearly!$D:$AM, 10, FALSE), 1)</f>
        <v>3.6805727774674268E-4</v>
      </c>
      <c r="T2" s="7">
        <f>$B2 * IFERROR(VLOOKUP("industry|NOx|Premature mortality", US_national_yearly!$D:$AM, 28, FALSE) / VLOOKUP("industry|NOx|Premature mortality", US_national_yearly!$D:$AM, 10, FALSE), 1)</f>
        <v>3.6978736050601897E-4</v>
      </c>
      <c r="U2" s="7">
        <f>$B2 * IFERROR(VLOOKUP("industry|NOx|Premature mortality", US_national_yearly!$D:$AM, 29, FALSE) / VLOOKUP("industry|NOx|Premature mortality", US_national_yearly!$D:$AM, 10, FALSE), 1)</f>
        <v>3.7151744326529532E-4</v>
      </c>
      <c r="V2" s="7">
        <f>$B2 * IFERROR(VLOOKUP("industry|NOx|Premature mortality", US_national_yearly!$D:$AM, 30, FALSE) / VLOOKUP("industry|NOx|Premature mortality", US_national_yearly!$D:$AM, 10, FALSE), 1)</f>
        <v>3.7324752602457161E-4</v>
      </c>
      <c r="W2" s="7">
        <f>$B2 * IFERROR(VLOOKUP("industry|NOx|Premature mortality", US_national_yearly!$D:$AM, 31, FALSE) / VLOOKUP("industry|NOx|Premature mortality", US_national_yearly!$D:$AM, 10, FALSE), 1)</f>
        <v>3.7497760878384785E-4</v>
      </c>
      <c r="X2" s="7">
        <f>$B2 * IFERROR(VLOOKUP("industry|NOx|Premature mortality", US_national_yearly!$D:$AM, 32, FALSE) / VLOOKUP("industry|NOx|Premature mortality", US_national_yearly!$D:$AM, 10, FALSE), 1)</f>
        <v>3.7510982724142135E-4</v>
      </c>
      <c r="Y2" s="7">
        <f>$B2 * IFERROR(VLOOKUP("industry|NOx|Premature mortality", US_national_yearly!$D:$AM, 33, FALSE) / VLOOKUP("industry|NOx|Premature mortality", US_national_yearly!$D:$AM, 10, FALSE), 1)</f>
        <v>3.7524204569899485E-4</v>
      </c>
      <c r="Z2" s="7">
        <f>$B2 * IFERROR(VLOOKUP("industry|NOx|Premature mortality", US_national_yearly!$D:$AM, 34, FALSE) / VLOOKUP("industry|NOx|Premature mortality", US_national_yearly!$D:$AM, 10, FALSE), 1)</f>
        <v>3.7537426415656835E-4</v>
      </c>
      <c r="AA2" s="7">
        <f>$B2 * IFERROR(VLOOKUP("industry|NOx|Premature mortality", US_national_yearly!$D:$AM, 35, FALSE) / VLOOKUP("industry|NOx|Premature mortality", US_national_yearly!$D:$AM, 10, FALSE), 1)</f>
        <v>3.7550648261414185E-4</v>
      </c>
      <c r="AB2" s="7">
        <f>$B2 * IFERROR(VLOOKUP("industry|NOx|Premature mortality", US_national_yearly!$D:$AM, 36, FALSE) / VLOOKUP("industry|NOx|Premature mortality", US_national_yearly!$D:$AM, 10, FALSE), 1)</f>
        <v>3.7563870107171535E-4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6.6214568090179255E-7</v>
      </c>
      <c r="C3" s="7">
        <f>$B3 * IFERROR(VLOOKUP("industry|NOx|Infant mortality", US_national_yearly!$D:$AM, 11, FALSE) / VLOOKUP("industry|NOx|Infant mortality", US_national_yearly!$D:$AM, 10, FALSE), 1)</f>
        <v>6.5580442267959527E-7</v>
      </c>
      <c r="D3" s="7">
        <f>$B3 * IFERROR(VLOOKUP("industry|NOx|Infant mortality", US_national_yearly!$D:$AM, 12, FALSE) / VLOOKUP("industry|NOx|Infant mortality", US_national_yearly!$D:$AM, 10, FALSE), 1)</f>
        <v>6.4946316445739788E-7</v>
      </c>
      <c r="E3" s="7">
        <f>$B3 * IFERROR(VLOOKUP("industry|NOx|Infant mortality", US_national_yearly!$D:$AM, 13, FALSE) / VLOOKUP("industry|NOx|Infant mortality", US_national_yearly!$D:$AM, 10, FALSE), 1)</f>
        <v>6.431219062352006E-7</v>
      </c>
      <c r="F3" s="7">
        <f>$B3 * IFERROR(VLOOKUP("industry|NOx|Infant mortality", US_national_yearly!$D:$AM, 14, FALSE) / VLOOKUP("industry|NOx|Infant mortality", US_national_yearly!$D:$AM, 10, FALSE), 1)</f>
        <v>6.3678064801300321E-7</v>
      </c>
      <c r="G3" s="7">
        <f>$B3 * IFERROR(VLOOKUP("industry|NOx|Infant mortality", US_national_yearly!$D:$AM, 15, FALSE) / VLOOKUP("industry|NOx|Infant mortality", US_national_yearly!$D:$AM, 10, FALSE), 1)</f>
        <v>4.2236911248260713E-7</v>
      </c>
      <c r="H3" s="7">
        <f>$B3 * IFERROR(VLOOKUP("industry|NOx|Infant mortality", US_national_yearly!$D:$AM, 16, FALSE) / VLOOKUP("industry|NOx|Infant mortality", US_national_yearly!$D:$AM, 10, FALSE), 1)</f>
        <v>2.0795757695221113E-7</v>
      </c>
      <c r="I3" s="7">
        <f>$B3 * IFERROR(VLOOKUP("industry|NOx|Infant mortality", US_national_yearly!$D:$AM, 17, FALSE) / VLOOKUP("industry|NOx|Infant mortality", US_national_yearly!$D:$AM, 10, FALSE), 1)</f>
        <v>2.064582926107816E-7</v>
      </c>
      <c r="J3" s="7">
        <f>$B3 * IFERROR(VLOOKUP("industry|NOx|Infant mortality", US_national_yearly!$D:$AM, 18, FALSE) / VLOOKUP("industry|NOx|Infant mortality", US_national_yearly!$D:$AM, 10, FALSE), 1)</f>
        <v>2.0495900826935214E-7</v>
      </c>
      <c r="K3" s="7">
        <f>$B3 * IFERROR(VLOOKUP("industry|NOx|Infant mortality", US_national_yearly!$D:$AM, 19, FALSE) / VLOOKUP("industry|NOx|Infant mortality", US_national_yearly!$D:$AM, 10, FALSE), 1)</f>
        <v>2.0345972392792261E-7</v>
      </c>
      <c r="L3" s="7">
        <f>$B3 * IFERROR(VLOOKUP("industry|NOx|Infant mortality", US_national_yearly!$D:$AM, 20, FALSE) / VLOOKUP("industry|NOx|Infant mortality", US_national_yearly!$D:$AM, 10, FALSE), 1)</f>
        <v>2.0196043958649307E-7</v>
      </c>
      <c r="M3" s="7">
        <f>$B3 * IFERROR(VLOOKUP("industry|NOx|Infant mortality", US_national_yearly!$D:$AM, 21, FALSE) / VLOOKUP("industry|NOx|Infant mortality", US_national_yearly!$D:$AM, 10, FALSE), 1)</f>
        <v>2.0046115524506354E-7</v>
      </c>
      <c r="N3" s="7">
        <f>$B3 * IFERROR(VLOOKUP("industry|NOx|Infant mortality", US_national_yearly!$D:$AM, 22, FALSE) / VLOOKUP("industry|NOx|Infant mortality", US_national_yearly!$D:$AM, 10, FALSE), 1)</f>
        <v>1.9945100508396957E-7</v>
      </c>
      <c r="O3" s="7">
        <f>$B3 * IFERROR(VLOOKUP("industry|NOx|Infant mortality", US_national_yearly!$D:$AM, 23, FALSE) / VLOOKUP("industry|NOx|Infant mortality", US_national_yearly!$D:$AM, 10, FALSE), 1)</f>
        <v>1.9844085492287559E-7</v>
      </c>
      <c r="P3" s="7">
        <f>$B3 * IFERROR(VLOOKUP("industry|NOx|Infant mortality", US_national_yearly!$D:$AM, 24, FALSE) / VLOOKUP("industry|NOx|Infant mortality", US_national_yearly!$D:$AM, 10, FALSE), 1)</f>
        <v>1.9743070476178162E-7</v>
      </c>
      <c r="Q3" s="7">
        <f>$B3 * IFERROR(VLOOKUP("industry|NOx|Infant mortality", US_national_yearly!$D:$AM, 25, FALSE) / VLOOKUP("industry|NOx|Infant mortality", US_national_yearly!$D:$AM, 10, FALSE), 1)</f>
        <v>1.9642055460068766E-7</v>
      </c>
      <c r="R3" s="7">
        <f>$B3 * IFERROR(VLOOKUP("industry|NOx|Infant mortality", US_national_yearly!$D:$AM, 26, FALSE) / VLOOKUP("industry|NOx|Infant mortality", US_national_yearly!$D:$AM, 10, FALSE), 1)</f>
        <v>1.954104044395937E-7</v>
      </c>
      <c r="S3" s="7">
        <f>$B3 * IFERROR(VLOOKUP("industry|NOx|Infant mortality", US_national_yearly!$D:$AM, 27, FALSE) / VLOOKUP("industry|NOx|Infant mortality", US_national_yearly!$D:$AM, 10, FALSE), 1)</f>
        <v>1.9421086918283557E-7</v>
      </c>
      <c r="T3" s="7">
        <f>$B3 * IFERROR(VLOOKUP("industry|NOx|Infant mortality", US_national_yearly!$D:$AM, 28, FALSE) / VLOOKUP("industry|NOx|Infant mortality", US_national_yearly!$D:$AM, 10, FALSE), 1)</f>
        <v>1.9301133392607745E-7</v>
      </c>
      <c r="U3" s="7">
        <f>$B3 * IFERROR(VLOOKUP("industry|NOx|Infant mortality", US_national_yearly!$D:$AM, 29, FALSE) / VLOOKUP("industry|NOx|Infant mortality", US_national_yearly!$D:$AM, 10, FALSE), 1)</f>
        <v>1.9181179866931933E-7</v>
      </c>
      <c r="V3" s="7">
        <f>$B3 * IFERROR(VLOOKUP("industry|NOx|Infant mortality", US_national_yearly!$D:$AM, 30, FALSE) / VLOOKUP("industry|NOx|Infant mortality", US_national_yearly!$D:$AM, 10, FALSE), 1)</f>
        <v>1.906122634125612E-7</v>
      </c>
      <c r="W3" s="7">
        <f>$B3 * IFERROR(VLOOKUP("industry|NOx|Infant mortality", US_national_yearly!$D:$AM, 31, FALSE) / VLOOKUP("industry|NOx|Infant mortality", US_national_yearly!$D:$AM, 10, FALSE), 1)</f>
        <v>1.894127281558031E-7</v>
      </c>
      <c r="X3" s="7">
        <f>$B3 * IFERROR(VLOOKUP("industry|NOx|Infant mortality", US_national_yearly!$D:$AM, 32, FALSE) / VLOOKUP("industry|NOx|Infant mortality", US_national_yearly!$D:$AM, 10, FALSE), 1)</f>
        <v>1.8815308331398157E-7</v>
      </c>
      <c r="Y3" s="7">
        <f>$B3 * IFERROR(VLOOKUP("industry|NOx|Infant mortality", US_national_yearly!$D:$AM, 33, FALSE) / VLOOKUP("industry|NOx|Infant mortality", US_national_yearly!$D:$AM, 10, FALSE), 1)</f>
        <v>1.8689343847216007E-7</v>
      </c>
      <c r="Z3" s="7">
        <f>$B3 * IFERROR(VLOOKUP("industry|NOx|Infant mortality", US_national_yearly!$D:$AM, 34, FALSE) / VLOOKUP("industry|NOx|Infant mortality", US_national_yearly!$D:$AM, 10, FALSE), 1)</f>
        <v>1.8563379363033857E-7</v>
      </c>
      <c r="AA3" s="7">
        <f>$B3 * IFERROR(VLOOKUP("industry|NOx|Infant mortality", US_national_yearly!$D:$AM, 35, FALSE) / VLOOKUP("industry|NOx|Infant mortality", US_national_yearly!$D:$AM, 10, FALSE), 1)</f>
        <v>1.8437414878851707E-7</v>
      </c>
      <c r="AB3" s="7">
        <f>$B3 * IFERROR(VLOOKUP("industry|NOx|Infant mortality", US_national_yearly!$D:$AM, 36, FALSE) / VLOOKUP("industry|NOx|Infant mortality", US_national_yearly!$D:$AM, 10, FALSE), 1)</f>
        <v>1.8311450394669554E-7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5.9972080896858633E-4</v>
      </c>
      <c r="C6" s="7">
        <f>$B6 * IFERROR(VLOOKUP("industry|NOx|Asthma symptoms cough", US_national_yearly!$D:$AM, 11, FALSE) / VLOOKUP("industry|NOx|Asthma symptoms cough", US_national_yearly!$D:$AM, 10, FALSE), 1)</f>
        <v>6.0792519313136294E-4</v>
      </c>
      <c r="D6" s="7">
        <f>$B6 * IFERROR(VLOOKUP("industry|NOx|Asthma symptoms cough", US_national_yearly!$D:$AM, 12, FALSE) / VLOOKUP("industry|NOx|Asthma symptoms cough", US_national_yearly!$D:$AM, 10, FALSE), 1)</f>
        <v>6.1612957729413967E-4</v>
      </c>
      <c r="E6" s="7">
        <f>$B6 * IFERROR(VLOOKUP("industry|NOx|Asthma symptoms cough", US_national_yearly!$D:$AM, 13, FALSE) / VLOOKUP("industry|NOx|Asthma symptoms cough", US_national_yearly!$D:$AM, 10, FALSE), 1)</f>
        <v>6.2433396145691628E-4</v>
      </c>
      <c r="F6" s="7">
        <f>$B6 * IFERROR(VLOOKUP("industry|NOx|Asthma symptoms cough", US_national_yearly!$D:$AM, 14, FALSE) / VLOOKUP("industry|NOx|Asthma symptoms cough", US_national_yearly!$D:$AM, 10, FALSE), 1)</f>
        <v>6.32538345619693E-4</v>
      </c>
      <c r="G6" s="7">
        <f>$B6 * IFERROR(VLOOKUP("industry|NOx|Asthma symptoms cough", US_national_yearly!$D:$AM, 15, FALSE) / VLOOKUP("industry|NOx|Asthma symptoms cough", US_national_yearly!$D:$AM, 10, FALSE), 1)</f>
        <v>6.3911698891101342E-4</v>
      </c>
      <c r="H6" s="7">
        <f>$B6 * IFERROR(VLOOKUP("industry|NOx|Asthma symptoms cough", US_national_yearly!$D:$AM, 16, FALSE) / VLOOKUP("industry|NOx|Asthma symptoms cough", US_national_yearly!$D:$AM, 10, FALSE), 1)</f>
        <v>6.4569563220233405E-4</v>
      </c>
      <c r="I6" s="7">
        <f>$B6 * IFERROR(VLOOKUP("industry|NOx|Asthma symptoms cough", US_national_yearly!$D:$AM, 17, FALSE) / VLOOKUP("industry|NOx|Asthma symptoms cough", US_national_yearly!$D:$AM, 10, FALSE), 1)</f>
        <v>6.4798505838782638E-4</v>
      </c>
      <c r="J6" s="7">
        <f>$B6 * IFERROR(VLOOKUP("industry|NOx|Asthma symptoms cough", US_national_yearly!$D:$AM, 18, FALSE) / VLOOKUP("industry|NOx|Asthma symptoms cough", US_national_yearly!$D:$AM, 10, FALSE), 1)</f>
        <v>6.5027448457331881E-4</v>
      </c>
      <c r="K6" s="7">
        <f>$B6 * IFERROR(VLOOKUP("industry|NOx|Asthma symptoms cough", US_national_yearly!$D:$AM, 19, FALSE) / VLOOKUP("industry|NOx|Asthma symptoms cough", US_national_yearly!$D:$AM, 10, FALSE), 1)</f>
        <v>6.5256391075881113E-4</v>
      </c>
      <c r="L6" s="7">
        <f>$B6 * IFERROR(VLOOKUP("industry|NOx|Asthma symptoms cough", US_national_yearly!$D:$AM, 20, FALSE) / VLOOKUP("industry|NOx|Asthma symptoms cough", US_national_yearly!$D:$AM, 10, FALSE), 1)</f>
        <v>6.5485333694430368E-4</v>
      </c>
      <c r="M6" s="7">
        <f>$B6 * IFERROR(VLOOKUP("industry|NOx|Asthma symptoms cough", US_national_yearly!$D:$AM, 21, FALSE) / VLOOKUP("industry|NOx|Asthma symptoms cough", US_national_yearly!$D:$AM, 10, FALSE), 1)</f>
        <v>6.5714276312979611E-4</v>
      </c>
      <c r="N6" s="7">
        <f>$B6 * IFERROR(VLOOKUP("industry|NOx|Asthma symptoms cough", US_national_yearly!$D:$AM, 22, FALSE) / VLOOKUP("industry|NOx|Asthma symptoms cough", US_national_yearly!$D:$AM, 10, FALSE), 1)</f>
        <v>6.5975620561883202E-4</v>
      </c>
      <c r="O6" s="7">
        <f>$B6 * IFERROR(VLOOKUP("industry|NOx|Asthma symptoms cough", US_national_yearly!$D:$AM, 23, FALSE) / VLOOKUP("industry|NOx|Asthma symptoms cough", US_national_yearly!$D:$AM, 10, FALSE), 1)</f>
        <v>6.6236964810786794E-4</v>
      </c>
      <c r="P6" s="7">
        <f>$B6 * IFERROR(VLOOKUP("industry|NOx|Asthma symptoms cough", US_national_yearly!$D:$AM, 24, FALSE) / VLOOKUP("industry|NOx|Asthma symptoms cough", US_national_yearly!$D:$AM, 10, FALSE), 1)</f>
        <v>6.6498309059690385E-4</v>
      </c>
      <c r="Q6" s="7">
        <f>$B6 * IFERROR(VLOOKUP("industry|NOx|Asthma symptoms cough", US_national_yearly!$D:$AM, 25, FALSE) / VLOOKUP("industry|NOx|Asthma symptoms cough", US_national_yearly!$D:$AM, 10, FALSE), 1)</f>
        <v>6.6759653308593977E-4</v>
      </c>
      <c r="R6" s="7">
        <f>$B6 * IFERROR(VLOOKUP("industry|NOx|Asthma symptoms cough", US_national_yearly!$D:$AM, 26, FALSE) / VLOOKUP("industry|NOx|Asthma symptoms cough", US_national_yearly!$D:$AM, 10, FALSE), 1)</f>
        <v>6.7020997557497579E-4</v>
      </c>
      <c r="S6" s="7">
        <f>$B6 * IFERROR(VLOOKUP("industry|NOx|Asthma symptoms cough", US_national_yearly!$D:$AM, 27, FALSE) / VLOOKUP("industry|NOx|Asthma symptoms cough", US_national_yearly!$D:$AM, 10, FALSE), 1)</f>
        <v>6.7358120075143091E-4</v>
      </c>
      <c r="T6" s="7">
        <f>$B6 * IFERROR(VLOOKUP("industry|NOx|Asthma symptoms cough", US_national_yearly!$D:$AM, 28, FALSE) / VLOOKUP("industry|NOx|Asthma symptoms cough", US_national_yearly!$D:$AM, 10, FALSE), 1)</f>
        <v>6.7695242592788593E-4</v>
      </c>
      <c r="U6" s="7">
        <f>$B6 * IFERROR(VLOOKUP("industry|NOx|Asthma symptoms cough", US_national_yearly!$D:$AM, 29, FALSE) / VLOOKUP("industry|NOx|Asthma symptoms cough", US_national_yearly!$D:$AM, 10, FALSE), 1)</f>
        <v>6.8032365110434105E-4</v>
      </c>
      <c r="V6" s="7">
        <f>$B6 * IFERROR(VLOOKUP("industry|NOx|Asthma symptoms cough", US_national_yearly!$D:$AM, 30, FALSE) / VLOOKUP("industry|NOx|Asthma symptoms cough", US_national_yearly!$D:$AM, 10, FALSE), 1)</f>
        <v>6.8369487628079607E-4</v>
      </c>
      <c r="W6" s="7">
        <f>$B6 * IFERROR(VLOOKUP("industry|NOx|Asthma symptoms cough", US_national_yearly!$D:$AM, 31, FALSE) / VLOOKUP("industry|NOx|Asthma symptoms cough", US_national_yearly!$D:$AM, 10, FALSE), 1)</f>
        <v>6.870661014572513E-4</v>
      </c>
      <c r="X6" s="7">
        <f>$B6 * IFERROR(VLOOKUP("industry|NOx|Asthma symptoms cough", US_national_yearly!$D:$AM, 32, FALSE) / VLOOKUP("industry|NOx|Asthma symptoms cough", US_national_yearly!$D:$AM, 10, FALSE), 1)</f>
        <v>6.901914864383804E-4</v>
      </c>
      <c r="Y6" s="7">
        <f>$B6 * IFERROR(VLOOKUP("industry|NOx|Asthma symptoms cough", US_national_yearly!$D:$AM, 33, FALSE) / VLOOKUP("industry|NOx|Asthma symptoms cough", US_national_yearly!$D:$AM, 10, FALSE), 1)</f>
        <v>6.933168714195095E-4</v>
      </c>
      <c r="Z6" s="7">
        <f>$B6 * IFERROR(VLOOKUP("industry|NOx|Asthma symptoms cough", US_national_yearly!$D:$AM, 34, FALSE) / VLOOKUP("industry|NOx|Asthma symptoms cough", US_national_yearly!$D:$AM, 10, FALSE), 1)</f>
        <v>6.9644225640063859E-4</v>
      </c>
      <c r="AA6" s="7">
        <f>$B6 * IFERROR(VLOOKUP("industry|NOx|Asthma symptoms cough", US_national_yearly!$D:$AM, 35, FALSE) / VLOOKUP("industry|NOx|Asthma symptoms cough", US_national_yearly!$D:$AM, 10, FALSE), 1)</f>
        <v>6.9956764138176769E-4</v>
      </c>
      <c r="AB6" s="7">
        <f>$B6 * IFERROR(VLOOKUP("industry|NOx|Asthma symptoms cough", US_national_yearly!$D:$AM, 36, FALSE) / VLOOKUP("industry|NOx|Asthma symptoms cough", US_national_yearly!$D:$AM, 10, FALSE), 1)</f>
        <v>7.0269302636289679E-4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8.0760809326728259E-4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8.186564459957493E-4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8.2970479872421601E-4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8.4075315145268272E-4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8.5180150418114953E-4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8.606605690421338E-4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8.6951963390311828E-4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8.7260266698173492E-4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8.7568570006035145E-4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8.7876873313896809E-4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8.8185176621758505E-4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8.8493479929620169E-4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8.884541657279278E-4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8.9197353215965381E-4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8.9549289859138003E-4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8.9901226502310625E-4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9.0253163145483236E-4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9.0707145845258196E-4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9.1161128545033177E-4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9.1615111244808137E-4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9.2069093944583118E-4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9.2523076644358067E-4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9.2943953517188023E-4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9.3364830390017957E-4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9.3785707262847892E-4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9.4206584135677837E-4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9.4627461008507771E-4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1.2338989895327129E-3</v>
      </c>
      <c r="C8" s="7">
        <f>$B8 * IFERROR(VLOOKUP("industry|NOx|Asthma symptoms wheeze", US_national_yearly!$D:$AM, 11, FALSE) / VLOOKUP("industry|NOx|Asthma symptoms wheeze", US_national_yearly!$D:$AM, 10, FALSE), 1)</f>
        <v>1.2507791464050919E-3</v>
      </c>
      <c r="D8" s="7">
        <f>$B8 * IFERROR(VLOOKUP("industry|NOx|Asthma symptoms wheeze", US_national_yearly!$D:$AM, 12, FALSE) / VLOOKUP("industry|NOx|Asthma symptoms wheeze", US_national_yearly!$D:$AM, 10, FALSE), 1)</f>
        <v>1.2676593032774708E-3</v>
      </c>
      <c r="E8" s="7">
        <f>$B8 * IFERROR(VLOOKUP("industry|NOx|Asthma symptoms wheeze", US_national_yearly!$D:$AM, 13, FALSE) / VLOOKUP("industry|NOx|Asthma symptoms wheeze", US_national_yearly!$D:$AM, 10, FALSE), 1)</f>
        <v>1.2845394601498498E-3</v>
      </c>
      <c r="F8" s="7">
        <f>$B8 * IFERROR(VLOOKUP("industry|NOx|Asthma symptoms wheeze", US_national_yearly!$D:$AM, 14, FALSE) / VLOOKUP("industry|NOx|Asthma symptoms wheeze", US_national_yearly!$D:$AM, 10, FALSE), 1)</f>
        <v>1.3014196170222285E-3</v>
      </c>
      <c r="G8" s="7">
        <f>$B8 * IFERROR(VLOOKUP("industry|NOx|Asthma symptoms wheeze", US_national_yearly!$D:$AM, 15, FALSE) / VLOOKUP("industry|NOx|Asthma symptoms wheeze", US_national_yearly!$D:$AM, 10, FALSE), 1)</f>
        <v>1.3149548840928347E-3</v>
      </c>
      <c r="H8" s="7">
        <f>$B8 * IFERROR(VLOOKUP("industry|NOx|Asthma symptoms wheeze", US_national_yearly!$D:$AM, 16, FALSE) / VLOOKUP("industry|NOx|Asthma symptoms wheeze", US_national_yearly!$D:$AM, 10, FALSE), 1)</f>
        <v>1.3284901511634404E-3</v>
      </c>
      <c r="I8" s="7">
        <f>$B8 * IFERROR(VLOOKUP("industry|NOx|Asthma symptoms wheeze", US_national_yearly!$D:$AM, 17, FALSE) / VLOOKUP("industry|NOx|Asthma symptoms wheeze", US_national_yearly!$D:$AM, 10, FALSE), 1)</f>
        <v>1.3332005440990196E-3</v>
      </c>
      <c r="J8" s="7">
        <f>$B8 * IFERROR(VLOOKUP("industry|NOx|Asthma symptoms wheeze", US_national_yearly!$D:$AM, 18, FALSE) / VLOOKUP("industry|NOx|Asthma symptoms wheeze", US_national_yearly!$D:$AM, 10, FALSE), 1)</f>
        <v>1.3379109370345984E-3</v>
      </c>
      <c r="K8" s="7">
        <f>$B8 * IFERROR(VLOOKUP("industry|NOx|Asthma symptoms wheeze", US_national_yearly!$D:$AM, 19, FALSE) / VLOOKUP("industry|NOx|Asthma symptoms wheeze", US_national_yearly!$D:$AM, 10, FALSE), 1)</f>
        <v>1.3426213299701777E-3</v>
      </c>
      <c r="L8" s="7">
        <f>$B8 * IFERROR(VLOOKUP("industry|NOx|Asthma symptoms wheeze", US_national_yearly!$D:$AM, 20, FALSE) / VLOOKUP("industry|NOx|Asthma symptoms wheeze", US_national_yearly!$D:$AM, 10, FALSE), 1)</f>
        <v>1.3473317229057563E-3</v>
      </c>
      <c r="M8" s="7">
        <f>$B8 * IFERROR(VLOOKUP("industry|NOx|Asthma symptoms wheeze", US_national_yearly!$D:$AM, 21, FALSE) / VLOOKUP("industry|NOx|Asthma symptoms wheeze", US_national_yearly!$D:$AM, 10, FALSE), 1)</f>
        <v>1.3520421158413354E-3</v>
      </c>
      <c r="N8" s="7">
        <f>$B8 * IFERROR(VLOOKUP("industry|NOx|Asthma symptoms wheeze", US_national_yearly!$D:$AM, 22, FALSE) / VLOOKUP("industry|NOx|Asthma symptoms wheeze", US_national_yearly!$D:$AM, 10, FALSE), 1)</f>
        <v>1.3574191579636518E-3</v>
      </c>
      <c r="O8" s="7">
        <f>$B8 * IFERROR(VLOOKUP("industry|NOx|Asthma symptoms wheeze", US_national_yearly!$D:$AM, 23, FALSE) / VLOOKUP("industry|NOx|Asthma symptoms wheeze", US_national_yearly!$D:$AM, 10, FALSE), 1)</f>
        <v>1.3627962000859681E-3</v>
      </c>
      <c r="P8" s="7">
        <f>$B8 * IFERROR(VLOOKUP("industry|NOx|Asthma symptoms wheeze", US_national_yearly!$D:$AM, 24, FALSE) / VLOOKUP("industry|NOx|Asthma symptoms wheeze", US_national_yearly!$D:$AM, 10, FALSE), 1)</f>
        <v>1.3681732422082841E-3</v>
      </c>
      <c r="Q8" s="7">
        <f>$B8 * IFERROR(VLOOKUP("industry|NOx|Asthma symptoms wheeze", US_national_yearly!$D:$AM, 25, FALSE) / VLOOKUP("industry|NOx|Asthma symptoms wheeze", US_national_yearly!$D:$AM, 10, FALSE), 1)</f>
        <v>1.3735502843306006E-3</v>
      </c>
      <c r="R8" s="7">
        <f>$B8 * IFERROR(VLOOKUP("industry|NOx|Asthma symptoms wheeze", US_national_yearly!$D:$AM, 26, FALSE) / VLOOKUP("industry|NOx|Asthma symptoms wheeze", US_national_yearly!$D:$AM, 10, FALSE), 1)</f>
        <v>1.3789273264529171E-3</v>
      </c>
      <c r="S8" s="7">
        <f>$B8 * IFERROR(VLOOKUP("industry|NOx|Asthma symptoms wheeze", US_national_yearly!$D:$AM, 27, FALSE) / VLOOKUP("industry|NOx|Asthma symptoms wheeze", US_national_yearly!$D:$AM, 10, FALSE), 1)</f>
        <v>1.3858634728757318E-3</v>
      </c>
      <c r="T8" s="7">
        <f>$B8 * IFERROR(VLOOKUP("industry|NOx|Asthma symptoms wheeze", US_national_yearly!$D:$AM, 28, FALSE) / VLOOKUP("industry|NOx|Asthma symptoms wheeze", US_national_yearly!$D:$AM, 10, FALSE), 1)</f>
        <v>1.3927996192985464E-3</v>
      </c>
      <c r="U8" s="7">
        <f>$B8 * IFERROR(VLOOKUP("industry|NOx|Asthma symptoms wheeze", US_national_yearly!$D:$AM, 29, FALSE) / VLOOKUP("industry|NOx|Asthma symptoms wheeze", US_national_yearly!$D:$AM, 10, FALSE), 1)</f>
        <v>1.3997357657213609E-3</v>
      </c>
      <c r="V8" s="7">
        <f>$B8 * IFERROR(VLOOKUP("industry|NOx|Asthma symptoms wheeze", US_national_yearly!$D:$AM, 30, FALSE) / VLOOKUP("industry|NOx|Asthma symptoms wheeze", US_national_yearly!$D:$AM, 10, FALSE), 1)</f>
        <v>1.4066719121441757E-3</v>
      </c>
      <c r="W8" s="7">
        <f>$B8 * IFERROR(VLOOKUP("industry|NOx|Asthma symptoms wheeze", US_national_yearly!$D:$AM, 31, FALSE) / VLOOKUP("industry|NOx|Asthma symptoms wheeze", US_national_yearly!$D:$AM, 10, FALSE), 1)</f>
        <v>1.4136080585669902E-3</v>
      </c>
      <c r="X8" s="7">
        <f>$B8 * IFERROR(VLOOKUP("industry|NOx|Asthma symptoms wheeze", US_national_yearly!$D:$AM, 32, FALSE) / VLOOKUP("industry|NOx|Asthma symptoms wheeze", US_national_yearly!$D:$AM, 10, FALSE), 1)</f>
        <v>1.4200383996809112E-3</v>
      </c>
      <c r="Y8" s="7">
        <f>$B8 * IFERROR(VLOOKUP("industry|NOx|Asthma symptoms wheeze", US_national_yearly!$D:$AM, 33, FALSE) / VLOOKUP("industry|NOx|Asthma symptoms wheeze", US_national_yearly!$D:$AM, 10, FALSE), 1)</f>
        <v>1.4264687407948317E-3</v>
      </c>
      <c r="Z8" s="7">
        <f>$B8 * IFERROR(VLOOKUP("industry|NOx|Asthma symptoms wheeze", US_national_yearly!$D:$AM, 34, FALSE) / VLOOKUP("industry|NOx|Asthma symptoms wheeze", US_national_yearly!$D:$AM, 10, FALSE), 1)</f>
        <v>1.4328990819087522E-3</v>
      </c>
      <c r="AA8" s="7">
        <f>$B8 * IFERROR(VLOOKUP("industry|NOx|Asthma symptoms wheeze", US_national_yearly!$D:$AM, 35, FALSE) / VLOOKUP("industry|NOx|Asthma symptoms wheeze", US_national_yearly!$D:$AM, 10, FALSE), 1)</f>
        <v>1.4393294230226727E-3</v>
      </c>
      <c r="AB8" s="7">
        <f>$B8 * IFERROR(VLOOKUP("industry|NOx|Asthma symptoms wheeze", US_national_yearly!$D:$AM, 36, FALSE) / VLOOKUP("industry|NOx|Asthma symptoms wheeze", US_national_yearly!$D:$AM, 10, FALSE), 1)</f>
        <v>1.4457597641365943E-3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5.9037705597024294E-5</v>
      </c>
      <c r="C12" s="7">
        <f>$B12 * IFERROR(VLOOKUP("industry|NOx|Respiratory hospital admissions", US_national_yearly!$D:$AM, 11, FALSE) / VLOOKUP("industry|NOx|Respiratory hospital admissions", US_national_yearly!$D:$AM, 10, FALSE), 1)</f>
        <v>6.0520928354357821E-5</v>
      </c>
      <c r="D12" s="7">
        <f>$B12 * IFERROR(VLOOKUP("industry|NOx|Respiratory hospital admissions", US_national_yearly!$D:$AM, 12, FALSE) / VLOOKUP("industry|NOx|Respiratory hospital admissions", US_national_yearly!$D:$AM, 10, FALSE), 1)</f>
        <v>6.2004151111691341E-5</v>
      </c>
      <c r="E12" s="7">
        <f>$B12 * IFERROR(VLOOKUP("industry|NOx|Respiratory hospital admissions", US_national_yearly!$D:$AM, 13, FALSE) / VLOOKUP("industry|NOx|Respiratory hospital admissions", US_national_yearly!$D:$AM, 10, FALSE), 1)</f>
        <v>6.3487373869024874E-5</v>
      </c>
      <c r="F12" s="7">
        <f>$B12 * IFERROR(VLOOKUP("industry|NOx|Respiratory hospital admissions", US_national_yearly!$D:$AM, 14, FALSE) / VLOOKUP("industry|NOx|Respiratory hospital admissions", US_national_yearly!$D:$AM, 10, FALSE), 1)</f>
        <v>6.4970596626358394E-5</v>
      </c>
      <c r="G12" s="7">
        <f>$B12 * IFERROR(VLOOKUP("industry|NOx|Respiratory hospital admissions", US_national_yearly!$D:$AM, 15, FALSE) / VLOOKUP("industry|NOx|Respiratory hospital admissions", US_national_yearly!$D:$AM, 10, FALSE), 1)</f>
        <v>6.6389365148579089E-5</v>
      </c>
      <c r="H12" s="7">
        <f>$B12 * IFERROR(VLOOKUP("industry|NOx|Respiratory hospital admissions", US_national_yearly!$D:$AM, 16, FALSE) / VLOOKUP("industry|NOx|Respiratory hospital admissions", US_national_yearly!$D:$AM, 10, FALSE), 1)</f>
        <v>6.7808133670799783E-5</v>
      </c>
      <c r="I12" s="7">
        <f>$B12 * IFERROR(VLOOKUP("industry|NOx|Respiratory hospital admissions", US_national_yearly!$D:$AM, 17, FALSE) / VLOOKUP("industry|NOx|Respiratory hospital admissions", US_national_yearly!$D:$AM, 10, FALSE), 1)</f>
        <v>6.9016407725055288E-5</v>
      </c>
      <c r="J12" s="7">
        <f>$B12 * IFERROR(VLOOKUP("industry|NOx|Respiratory hospital admissions", US_national_yearly!$D:$AM, 18, FALSE) / VLOOKUP("industry|NOx|Respiratory hospital admissions", US_national_yearly!$D:$AM, 10, FALSE), 1)</f>
        <v>7.0224681779310793E-5</v>
      </c>
      <c r="K12" s="7">
        <f>$B12 * IFERROR(VLOOKUP("industry|NOx|Respiratory hospital admissions", US_national_yearly!$D:$AM, 19, FALSE) / VLOOKUP("industry|NOx|Respiratory hospital admissions", US_national_yearly!$D:$AM, 10, FALSE), 1)</f>
        <v>7.1432955833566311E-5</v>
      </c>
      <c r="L12" s="7">
        <f>$B12 * IFERROR(VLOOKUP("industry|NOx|Respiratory hospital admissions", US_national_yearly!$D:$AM, 20, FALSE) / VLOOKUP("industry|NOx|Respiratory hospital admissions", US_national_yearly!$D:$AM, 10, FALSE), 1)</f>
        <v>7.264122988782183E-5</v>
      </c>
      <c r="M12" s="7">
        <f>$B12 * IFERROR(VLOOKUP("industry|NOx|Respiratory hospital admissions", US_national_yearly!$D:$AM, 21, FALSE) / VLOOKUP("industry|NOx|Respiratory hospital admissions", US_national_yearly!$D:$AM, 10, FALSE), 1)</f>
        <v>7.3849503942077335E-5</v>
      </c>
      <c r="N12" s="7">
        <f>$B12 * IFERROR(VLOOKUP("industry|NOx|Respiratory hospital admissions", US_national_yearly!$D:$AM, 22, FALSE) / VLOOKUP("industry|NOx|Respiratory hospital admissions", US_national_yearly!$D:$AM, 10, FALSE), 1)</f>
        <v>7.4659309740388968E-5</v>
      </c>
      <c r="O12" s="7">
        <f>$B12 * IFERROR(VLOOKUP("industry|NOx|Respiratory hospital admissions", US_national_yearly!$D:$AM, 23, FALSE) / VLOOKUP("industry|NOx|Respiratory hospital admissions", US_national_yearly!$D:$AM, 10, FALSE), 1)</f>
        <v>7.5469115538700601E-5</v>
      </c>
      <c r="P12" s="7">
        <f>$B12 * IFERROR(VLOOKUP("industry|NOx|Respiratory hospital admissions", US_national_yearly!$D:$AM, 24, FALSE) / VLOOKUP("industry|NOx|Respiratory hospital admissions", US_national_yearly!$D:$AM, 10, FALSE), 1)</f>
        <v>7.6278921337012234E-5</v>
      </c>
      <c r="Q12" s="7">
        <f>$B12 * IFERROR(VLOOKUP("industry|NOx|Respiratory hospital admissions", US_national_yearly!$D:$AM, 25, FALSE) / VLOOKUP("industry|NOx|Respiratory hospital admissions", US_national_yearly!$D:$AM, 10, FALSE), 1)</f>
        <v>7.7088727135323854E-5</v>
      </c>
      <c r="R12" s="7">
        <f>$B12 * IFERROR(VLOOKUP("industry|NOx|Respiratory hospital admissions", US_national_yearly!$D:$AM, 26, FALSE) / VLOOKUP("industry|NOx|Respiratory hospital admissions", US_national_yearly!$D:$AM, 10, FALSE), 1)</f>
        <v>7.7898532933635487E-5</v>
      </c>
      <c r="S12" s="7">
        <f>$B12 * IFERROR(VLOOKUP("industry|NOx|Respiratory hospital admissions", US_national_yearly!$D:$AM, 27, FALSE) / VLOOKUP("industry|NOx|Respiratory hospital admissions", US_national_yearly!$D:$AM, 10, FALSE), 1)</f>
        <v>7.8338187120428426E-5</v>
      </c>
      <c r="T12" s="7">
        <f>$B12 * IFERROR(VLOOKUP("industry|NOx|Respiratory hospital admissions", US_national_yearly!$D:$AM, 28, FALSE) / VLOOKUP("industry|NOx|Respiratory hospital admissions", US_national_yearly!$D:$AM, 10, FALSE), 1)</f>
        <v>7.877784130722138E-5</v>
      </c>
      <c r="U12" s="7">
        <f>$B12 * IFERROR(VLOOKUP("industry|NOx|Respiratory hospital admissions", US_national_yearly!$D:$AM, 29, FALSE) / VLOOKUP("industry|NOx|Respiratory hospital admissions", US_national_yearly!$D:$AM, 10, FALSE), 1)</f>
        <v>7.9217495494014333E-5</v>
      </c>
      <c r="V12" s="7">
        <f>$B12 * IFERROR(VLOOKUP("industry|NOx|Respiratory hospital admissions", US_national_yearly!$D:$AM, 30, FALSE) / VLOOKUP("industry|NOx|Respiratory hospital admissions", US_national_yearly!$D:$AM, 10, FALSE), 1)</f>
        <v>7.9657149680807272E-5</v>
      </c>
      <c r="W12" s="7">
        <f>$B12 * IFERROR(VLOOKUP("industry|NOx|Respiratory hospital admissions", US_national_yearly!$D:$AM, 31, FALSE) / VLOOKUP("industry|NOx|Respiratory hospital admissions", US_national_yearly!$D:$AM, 10, FALSE), 1)</f>
        <v>8.0096803867600225E-5</v>
      </c>
      <c r="X12" s="7">
        <f>$B12 * IFERROR(VLOOKUP("industry|NOx|Respiratory hospital admissions", US_national_yearly!$D:$AM, 32, FALSE) / VLOOKUP("industry|NOx|Respiratory hospital admissions", US_national_yearly!$D:$AM, 10, FALSE), 1)</f>
        <v>8.0403357849848721E-5</v>
      </c>
      <c r="Y12" s="7">
        <f>$B12 * IFERROR(VLOOKUP("industry|NOx|Respiratory hospital admissions", US_national_yearly!$D:$AM, 33, FALSE) / VLOOKUP("industry|NOx|Respiratory hospital admissions", US_national_yearly!$D:$AM, 10, FALSE), 1)</f>
        <v>8.0709911832097203E-5</v>
      </c>
      <c r="Z12" s="7">
        <f>$B12 * IFERROR(VLOOKUP("industry|NOx|Respiratory hospital admissions", US_national_yearly!$D:$AM, 34, FALSE) / VLOOKUP("industry|NOx|Respiratory hospital admissions", US_national_yearly!$D:$AM, 10, FALSE), 1)</f>
        <v>8.1016465814345699E-5</v>
      </c>
      <c r="AA12" s="7">
        <f>$B12 * IFERROR(VLOOKUP("industry|NOx|Respiratory hospital admissions", US_national_yearly!$D:$AM, 35, FALSE) / VLOOKUP("industry|NOx|Respiratory hospital admissions", US_national_yearly!$D:$AM, 10, FALSE), 1)</f>
        <v>8.1323019796594194E-5</v>
      </c>
      <c r="AB12" s="7">
        <f>$B12 * IFERROR(VLOOKUP("industry|NOx|Respiratory hospital admissions", US_national_yearly!$D:$AM, 36, FALSE) / VLOOKUP("industry|NOx|Respiratory hospital admissions", US_national_yearly!$D:$AM, 10, FALSE), 1)</f>
        <v>8.1629573778842676E-5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3.4905448211431267E-4</v>
      </c>
      <c r="C13" s="7">
        <f>$B13 * IFERROR(VLOOKUP("industry|NOx|Non-fatal heart attacks", US_national_yearly!$D:$AM, 11, FALSE) / VLOOKUP("industry|NOx|Non-fatal heart attacks", US_national_yearly!$D:$AM, 10, FALSE), 1)</f>
        <v>3.5902730316026571E-4</v>
      </c>
      <c r="D13" s="7">
        <f>$B13 * IFERROR(VLOOKUP("industry|NOx|Non-fatal heart attacks", US_national_yearly!$D:$AM, 12, FALSE) / VLOOKUP("industry|NOx|Non-fatal heart attacks", US_national_yearly!$D:$AM, 10, FALSE), 1)</f>
        <v>3.6900012420621869E-4</v>
      </c>
      <c r="E13" s="7">
        <f>$B13 * IFERROR(VLOOKUP("industry|NOx|Non-fatal heart attacks", US_national_yearly!$D:$AM, 13, FALSE) / VLOOKUP("industry|NOx|Non-fatal heart attacks", US_national_yearly!$D:$AM, 10, FALSE), 1)</f>
        <v>3.7897294525217172E-4</v>
      </c>
      <c r="F13" s="7">
        <f>$B13 * IFERROR(VLOOKUP("industry|NOx|Non-fatal heart attacks", US_national_yearly!$D:$AM, 14, FALSE) / VLOOKUP("industry|NOx|Non-fatal heart attacks", US_national_yearly!$D:$AM, 10, FALSE), 1)</f>
        <v>3.8894576629812475E-4</v>
      </c>
      <c r="G13" s="7">
        <f>$B13 * IFERROR(VLOOKUP("industry|NOx|Non-fatal heart attacks", US_national_yearly!$D:$AM, 15, FALSE) / VLOOKUP("industry|NOx|Non-fatal heart attacks", US_national_yearly!$D:$AM, 10, FALSE), 1)</f>
        <v>3.9827325911096878E-4</v>
      </c>
      <c r="H13" s="7">
        <f>$B13 * IFERROR(VLOOKUP("industry|NOx|Non-fatal heart attacks", US_national_yearly!$D:$AM, 16, FALSE) / VLOOKUP("industry|NOx|Non-fatal heart attacks", US_national_yearly!$D:$AM, 10, FALSE), 1)</f>
        <v>4.0760075192381275E-4</v>
      </c>
      <c r="I13" s="7">
        <f>$B13 * IFERROR(VLOOKUP("industry|NOx|Non-fatal heart attacks", US_national_yearly!$D:$AM, 17, FALSE) / VLOOKUP("industry|NOx|Non-fatal heart attacks", US_national_yearly!$D:$AM, 10, FALSE), 1)</f>
        <v>4.1497781824050641E-4</v>
      </c>
      <c r="J13" s="7">
        <f>$B13 * IFERROR(VLOOKUP("industry|NOx|Non-fatal heart attacks", US_national_yearly!$D:$AM, 18, FALSE) / VLOOKUP("industry|NOx|Non-fatal heart attacks", US_national_yearly!$D:$AM, 10, FALSE), 1)</f>
        <v>4.2235488455720006E-4</v>
      </c>
      <c r="K13" s="7">
        <f>$B13 * IFERROR(VLOOKUP("industry|NOx|Non-fatal heart attacks", US_national_yearly!$D:$AM, 19, FALSE) / VLOOKUP("industry|NOx|Non-fatal heart attacks", US_national_yearly!$D:$AM, 10, FALSE), 1)</f>
        <v>4.297319508738935E-4</v>
      </c>
      <c r="L13" s="7">
        <f>$B13 * IFERROR(VLOOKUP("industry|NOx|Non-fatal heart attacks", US_national_yearly!$D:$AM, 20, FALSE) / VLOOKUP("industry|NOx|Non-fatal heart attacks", US_national_yearly!$D:$AM, 10, FALSE), 1)</f>
        <v>4.3710901719058731E-4</v>
      </c>
      <c r="M13" s="7">
        <f>$B13 * IFERROR(VLOOKUP("industry|NOx|Non-fatal heart attacks", US_national_yearly!$D:$AM, 21, FALSE) / VLOOKUP("industry|NOx|Non-fatal heart attacks", US_national_yearly!$D:$AM, 10, FALSE), 1)</f>
        <v>4.4448608350728102E-4</v>
      </c>
      <c r="N13" s="7">
        <f>$B13 * IFERROR(VLOOKUP("industry|NOx|Non-fatal heart attacks", US_national_yearly!$D:$AM, 22, FALSE) / VLOOKUP("industry|NOx|Non-fatal heart attacks", US_national_yearly!$D:$AM, 10, FALSE), 1)</f>
        <v>4.4893041189771017E-4</v>
      </c>
      <c r="O13" s="7">
        <f>$B13 * IFERROR(VLOOKUP("industry|NOx|Non-fatal heart attacks", US_national_yearly!$D:$AM, 23, FALSE) / VLOOKUP("industry|NOx|Non-fatal heart attacks", US_national_yearly!$D:$AM, 10, FALSE), 1)</f>
        <v>4.5337474028813921E-4</v>
      </c>
      <c r="P13" s="7">
        <f>$B13 * IFERROR(VLOOKUP("industry|NOx|Non-fatal heart attacks", US_national_yearly!$D:$AM, 24, FALSE) / VLOOKUP("industry|NOx|Non-fatal heart attacks", US_national_yearly!$D:$AM, 10, FALSE), 1)</f>
        <v>4.578190686785683E-4</v>
      </c>
      <c r="Q13" s="7">
        <f>$B13 * IFERROR(VLOOKUP("industry|NOx|Non-fatal heart attacks", US_national_yearly!$D:$AM, 25, FALSE) / VLOOKUP("industry|NOx|Non-fatal heart attacks", US_national_yearly!$D:$AM, 10, FALSE), 1)</f>
        <v>4.6226339706899739E-4</v>
      </c>
      <c r="R13" s="7">
        <f>$B13 * IFERROR(VLOOKUP("industry|NOx|Non-fatal heart attacks", US_national_yearly!$D:$AM, 26, FALSE) / VLOOKUP("industry|NOx|Non-fatal heart attacks", US_national_yearly!$D:$AM, 10, FALSE), 1)</f>
        <v>4.6670772545942643E-4</v>
      </c>
      <c r="S13" s="7">
        <f>$B13 * IFERROR(VLOOKUP("industry|NOx|Non-fatal heart attacks", US_national_yearly!$D:$AM, 27, FALSE) / VLOOKUP("industry|NOx|Non-fatal heart attacks", US_national_yearly!$D:$AM, 10, FALSE), 1)</f>
        <v>4.6874687197338236E-4</v>
      </c>
      <c r="T13" s="7">
        <f>$B13 * IFERROR(VLOOKUP("industry|NOx|Non-fatal heart attacks", US_national_yearly!$D:$AM, 28, FALSE) / VLOOKUP("industry|NOx|Non-fatal heart attacks", US_national_yearly!$D:$AM, 10, FALSE), 1)</f>
        <v>4.7078601848733818E-4</v>
      </c>
      <c r="U13" s="7">
        <f>$B13 * IFERROR(VLOOKUP("industry|NOx|Non-fatal heart attacks", US_national_yearly!$D:$AM, 29, FALSE) / VLOOKUP("industry|NOx|Non-fatal heart attacks", US_national_yearly!$D:$AM, 10, FALSE), 1)</f>
        <v>4.7282516500129395E-4</v>
      </c>
      <c r="V13" s="7">
        <f>$B13 * IFERROR(VLOOKUP("industry|NOx|Non-fatal heart attacks", US_national_yearly!$D:$AM, 30, FALSE) / VLOOKUP("industry|NOx|Non-fatal heart attacks", US_national_yearly!$D:$AM, 10, FALSE), 1)</f>
        <v>4.7486431151524987E-4</v>
      </c>
      <c r="W13" s="7">
        <f>$B13 * IFERROR(VLOOKUP("industry|NOx|Non-fatal heart attacks", US_national_yearly!$D:$AM, 31, FALSE) / VLOOKUP("industry|NOx|Non-fatal heart attacks", US_national_yearly!$D:$AM, 10, FALSE), 1)</f>
        <v>4.7690345802920569E-4</v>
      </c>
      <c r="X13" s="7">
        <f>$B13 * IFERROR(VLOOKUP("industry|NOx|Non-fatal heart attacks", US_national_yearly!$D:$AM, 32, FALSE) / VLOOKUP("industry|NOx|Non-fatal heart attacks", US_national_yearly!$D:$AM, 10, FALSE), 1)</f>
        <v>4.7827965852822535E-4</v>
      </c>
      <c r="Y13" s="7">
        <f>$B13 * IFERROR(VLOOKUP("industry|NOx|Non-fatal heart attacks", US_national_yearly!$D:$AM, 33, FALSE) / VLOOKUP("industry|NOx|Non-fatal heart attacks", US_national_yearly!$D:$AM, 10, FALSE), 1)</f>
        <v>4.7965585902724501E-4</v>
      </c>
      <c r="Z13" s="7">
        <f>$B13 * IFERROR(VLOOKUP("industry|NOx|Non-fatal heart attacks", US_national_yearly!$D:$AM, 34, FALSE) / VLOOKUP("industry|NOx|Non-fatal heart attacks", US_national_yearly!$D:$AM, 10, FALSE), 1)</f>
        <v>4.8103205952626467E-4</v>
      </c>
      <c r="AA13" s="7">
        <f>$B13 * IFERROR(VLOOKUP("industry|NOx|Non-fatal heart attacks", US_national_yearly!$D:$AM, 35, FALSE) / VLOOKUP("industry|NOx|Non-fatal heart attacks", US_national_yearly!$D:$AM, 10, FALSE), 1)</f>
        <v>4.8240826002528432E-4</v>
      </c>
      <c r="AB13" s="7">
        <f>$B13 * IFERROR(VLOOKUP("industry|NOx|Non-fatal heart attacks", US_national_yearly!$D:$AM, 36, FALSE) / VLOOKUP("industry|NOx|Non-fatal heart attacks", US_national_yearly!$D:$AM, 10, FALSE), 1)</f>
        <v>4.8378446052430398E-4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7.518302101263527E-2</v>
      </c>
      <c r="C14" s="7">
        <f>$B14 * IFERROR(VLOOKUP("industry|NOx|Minor restricted activity days", US_national_yearly!$D:$AM, 11, FALSE) / VLOOKUP("industry|NOx|Minor restricted activity days", US_national_yearly!$D:$AM, 10, FALSE), 1)</f>
        <v>7.5294410459726929E-2</v>
      </c>
      <c r="D14" s="7">
        <f>$B14 * IFERROR(VLOOKUP("industry|NOx|Minor restricted activity days", US_national_yearly!$D:$AM, 12, FALSE) / VLOOKUP("industry|NOx|Minor restricted activity days", US_national_yearly!$D:$AM, 10, FALSE), 1)</f>
        <v>7.5405799906818588E-2</v>
      </c>
      <c r="E14" s="7">
        <f>$B14 * IFERROR(VLOOKUP("industry|NOx|Minor restricted activity days", US_national_yearly!$D:$AM, 13, FALSE) / VLOOKUP("industry|NOx|Minor restricted activity days", US_national_yearly!$D:$AM, 10, FALSE), 1)</f>
        <v>7.5517189353910247E-2</v>
      </c>
      <c r="F14" s="7">
        <f>$B14 * IFERROR(VLOOKUP("industry|NOx|Minor restricted activity days", US_national_yearly!$D:$AM, 14, FALSE) / VLOOKUP("industry|NOx|Minor restricted activity days", US_national_yearly!$D:$AM, 10, FALSE), 1)</f>
        <v>7.5628578801001906E-2</v>
      </c>
      <c r="G14" s="7">
        <f>$B14 * IFERROR(VLOOKUP("industry|NOx|Minor restricted activity days", US_national_yearly!$D:$AM, 15, FALSE) / VLOOKUP("industry|NOx|Minor restricted activity days", US_national_yearly!$D:$AM, 10, FALSE), 1)</f>
        <v>7.583135287248606E-2</v>
      </c>
      <c r="H14" s="7">
        <f>$B14 * IFERROR(VLOOKUP("industry|NOx|Minor restricted activity days", US_national_yearly!$D:$AM, 16, FALSE) / VLOOKUP("industry|NOx|Minor restricted activity days", US_national_yearly!$D:$AM, 10, FALSE), 1)</f>
        <v>7.6034126943970215E-2</v>
      </c>
      <c r="I14" s="7">
        <f>$B14 * IFERROR(VLOOKUP("industry|NOx|Minor restricted activity days", US_national_yearly!$D:$AM, 17, FALSE) / VLOOKUP("industry|NOx|Minor restricted activity days", US_national_yearly!$D:$AM, 10, FALSE), 1)</f>
        <v>7.6433316568076726E-2</v>
      </c>
      <c r="J14" s="7">
        <f>$B14 * IFERROR(VLOOKUP("industry|NOx|Minor restricted activity days", US_national_yearly!$D:$AM, 18, FALSE) / VLOOKUP("industry|NOx|Minor restricted activity days", US_national_yearly!$D:$AM, 10, FALSE), 1)</f>
        <v>7.6832506192183223E-2</v>
      </c>
      <c r="K14" s="7">
        <f>$B14 * IFERROR(VLOOKUP("industry|NOx|Minor restricted activity days", US_national_yearly!$D:$AM, 19, FALSE) / VLOOKUP("industry|NOx|Minor restricted activity days", US_national_yearly!$D:$AM, 10, FALSE), 1)</f>
        <v>7.7231695816289692E-2</v>
      </c>
      <c r="L14" s="7">
        <f>$B14 * IFERROR(VLOOKUP("industry|NOx|Minor restricted activity days", US_national_yearly!$D:$AM, 20, FALSE) / VLOOKUP("industry|NOx|Minor restricted activity days", US_national_yearly!$D:$AM, 10, FALSE), 1)</f>
        <v>7.7630885440396202E-2</v>
      </c>
      <c r="M14" s="7">
        <f>$B14 * IFERROR(VLOOKUP("industry|NOx|Minor restricted activity days", US_national_yearly!$D:$AM, 21, FALSE) / VLOOKUP("industry|NOx|Minor restricted activity days", US_national_yearly!$D:$AM, 10, FALSE), 1)</f>
        <v>7.8030075064502699E-2</v>
      </c>
      <c r="N14" s="7">
        <f>$B14 * IFERROR(VLOOKUP("industry|NOx|Minor restricted activity days", US_national_yearly!$D:$AM, 22, FALSE) / VLOOKUP("industry|NOx|Minor restricted activity days", US_national_yearly!$D:$AM, 10, FALSE), 1)</f>
        <v>7.8604934809867105E-2</v>
      </c>
      <c r="O14" s="7">
        <f>$B14 * IFERROR(VLOOKUP("industry|NOx|Minor restricted activity days", US_national_yearly!$D:$AM, 23, FALSE) / VLOOKUP("industry|NOx|Minor restricted activity days", US_national_yearly!$D:$AM, 10, FALSE), 1)</f>
        <v>7.9179794555231525E-2</v>
      </c>
      <c r="P14" s="7">
        <f>$B14 * IFERROR(VLOOKUP("industry|NOx|Minor restricted activity days", US_national_yearly!$D:$AM, 24, FALSE) / VLOOKUP("industry|NOx|Minor restricted activity days", US_national_yearly!$D:$AM, 10, FALSE), 1)</f>
        <v>7.9754654300595945E-2</v>
      </c>
      <c r="Q14" s="7">
        <f>$B14 * IFERROR(VLOOKUP("industry|NOx|Minor restricted activity days", US_national_yearly!$D:$AM, 25, FALSE) / VLOOKUP("industry|NOx|Minor restricted activity days", US_national_yearly!$D:$AM, 10, FALSE), 1)</f>
        <v>8.0329514045960337E-2</v>
      </c>
      <c r="R14" s="7">
        <f>$B14 * IFERROR(VLOOKUP("industry|NOx|Minor restricted activity days", US_national_yearly!$D:$AM, 26, FALSE) / VLOOKUP("industry|NOx|Minor restricted activity days", US_national_yearly!$D:$AM, 10, FALSE), 1)</f>
        <v>8.0904373791324757E-2</v>
      </c>
      <c r="S14" s="7">
        <f>$B14 * IFERROR(VLOOKUP("industry|NOx|Minor restricted activity days", US_national_yearly!$D:$AM, 27, FALSE) / VLOOKUP("industry|NOx|Minor restricted activity days", US_national_yearly!$D:$AM, 10, FALSE), 1)</f>
        <v>8.1479849000976851E-2</v>
      </c>
      <c r="T14" s="7">
        <f>$B14 * IFERROR(VLOOKUP("industry|NOx|Minor restricted activity days", US_national_yearly!$D:$AM, 28, FALSE) / VLOOKUP("industry|NOx|Minor restricted activity days", US_national_yearly!$D:$AM, 10, FALSE), 1)</f>
        <v>8.2055324210628972E-2</v>
      </c>
      <c r="U14" s="7">
        <f>$B14 * IFERROR(VLOOKUP("industry|NOx|Minor restricted activity days", US_national_yearly!$D:$AM, 29, FALSE) / VLOOKUP("industry|NOx|Minor restricted activity days", US_national_yearly!$D:$AM, 10, FALSE), 1)</f>
        <v>8.2630799420281079E-2</v>
      </c>
      <c r="V14" s="7">
        <f>$B14 * IFERROR(VLOOKUP("industry|NOx|Minor restricted activity days", US_national_yearly!$D:$AM, 30, FALSE) / VLOOKUP("industry|NOx|Minor restricted activity days", US_national_yearly!$D:$AM, 10, FALSE), 1)</f>
        <v>8.3206274629933186E-2</v>
      </c>
      <c r="W14" s="7">
        <f>$B14 * IFERROR(VLOOKUP("industry|NOx|Minor restricted activity days", US_national_yearly!$D:$AM, 31, FALSE) / VLOOKUP("industry|NOx|Minor restricted activity days", US_national_yearly!$D:$AM, 10, FALSE), 1)</f>
        <v>8.3781749839585307E-2</v>
      </c>
      <c r="X14" s="7">
        <f>$B14 * IFERROR(VLOOKUP("industry|NOx|Minor restricted activity days", US_national_yearly!$D:$AM, 32, FALSE) / VLOOKUP("industry|NOx|Minor restricted activity days", US_national_yearly!$D:$AM, 10, FALSE), 1)</f>
        <v>8.4267615160319428E-2</v>
      </c>
      <c r="Y14" s="7">
        <f>$B14 * IFERROR(VLOOKUP("industry|NOx|Minor restricted activity days", US_national_yearly!$D:$AM, 33, FALSE) / VLOOKUP("industry|NOx|Minor restricted activity days", US_national_yearly!$D:$AM, 10, FALSE), 1)</f>
        <v>8.4753480481053522E-2</v>
      </c>
      <c r="Z14" s="7">
        <f>$B14 * IFERROR(VLOOKUP("industry|NOx|Minor restricted activity days", US_national_yearly!$D:$AM, 34, FALSE) / VLOOKUP("industry|NOx|Minor restricted activity days", US_national_yearly!$D:$AM, 10, FALSE), 1)</f>
        <v>8.523934580178763E-2</v>
      </c>
      <c r="AA14" s="7">
        <f>$B14 * IFERROR(VLOOKUP("industry|NOx|Minor restricted activity days", US_national_yearly!$D:$AM, 35, FALSE) / VLOOKUP("industry|NOx|Minor restricted activity days", US_national_yearly!$D:$AM, 10, FALSE), 1)</f>
        <v>8.5725211122521752E-2</v>
      </c>
      <c r="AB14" s="7">
        <f>$B14 * IFERROR(VLOOKUP("industry|NOx|Minor restricted activity days", US_national_yearly!$D:$AM, 36, FALSE) / VLOOKUP("industry|NOx|Minor restricted activity days", US_national_yearly!$D:$AM, 10, FALSE), 1)</f>
        <v>8.6211076443255874E-2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1.2691952528793101E-2</v>
      </c>
      <c r="C15" s="7">
        <f>$B15 * IFERROR(VLOOKUP("industry|NOx|Work loss days", US_national_yearly!$D:$AM, 11, FALSE) / VLOOKUP("industry|NOx|Work loss days", US_national_yearly!$D:$AM, 10, FALSE), 1)</f>
        <v>1.2719451888904398E-2</v>
      </c>
      <c r="D15" s="7">
        <f>$B15 * IFERROR(VLOOKUP("industry|NOx|Work loss days", US_national_yearly!$D:$AM, 12, FALSE) / VLOOKUP("industry|NOx|Work loss days", US_national_yearly!$D:$AM, 10, FALSE), 1)</f>
        <v>1.2746951249015688E-2</v>
      </c>
      <c r="E15" s="7">
        <f>$B15 * IFERROR(VLOOKUP("industry|NOx|Work loss days", US_national_yearly!$D:$AM, 13, FALSE) / VLOOKUP("industry|NOx|Work loss days", US_national_yearly!$D:$AM, 10, FALSE), 1)</f>
        <v>1.2774450609126985E-2</v>
      </c>
      <c r="F15" s="7">
        <f>$B15 * IFERROR(VLOOKUP("industry|NOx|Work loss days", US_national_yearly!$D:$AM, 14, FALSE) / VLOOKUP("industry|NOx|Work loss days", US_national_yearly!$D:$AM, 10, FALSE), 1)</f>
        <v>1.2801949969238278E-2</v>
      </c>
      <c r="G15" s="7">
        <f>$B15 * IFERROR(VLOOKUP("industry|NOx|Work loss days", US_national_yearly!$D:$AM, 15, FALSE) / VLOOKUP("industry|NOx|Work loss days", US_national_yearly!$D:$AM, 10, FALSE), 1)</f>
        <v>1.2842174636040975E-2</v>
      </c>
      <c r="H15" s="7">
        <f>$B15 * IFERROR(VLOOKUP("industry|NOx|Work loss days", US_national_yearly!$D:$AM, 16, FALSE) / VLOOKUP("industry|NOx|Work loss days", US_national_yearly!$D:$AM, 10, FALSE), 1)</f>
        <v>1.2882399302843671E-2</v>
      </c>
      <c r="I15" s="7">
        <f>$B15 * IFERROR(VLOOKUP("industry|NOx|Work loss days", US_national_yearly!$D:$AM, 17, FALSE) / VLOOKUP("industry|NOx|Work loss days", US_national_yearly!$D:$AM, 10, FALSE), 1)</f>
        <v>1.2947754187248615E-2</v>
      </c>
      <c r="J15" s="7">
        <f>$B15 * IFERROR(VLOOKUP("industry|NOx|Work loss days", US_national_yearly!$D:$AM, 18, FALSE) / VLOOKUP("industry|NOx|Work loss days", US_national_yearly!$D:$AM, 10, FALSE), 1)</f>
        <v>1.3013109071653555E-2</v>
      </c>
      <c r="K15" s="7">
        <f>$B15 * IFERROR(VLOOKUP("industry|NOx|Work loss days", US_national_yearly!$D:$AM, 19, FALSE) / VLOOKUP("industry|NOx|Work loss days", US_national_yearly!$D:$AM, 10, FALSE), 1)</f>
        <v>1.3078463956058497E-2</v>
      </c>
      <c r="L15" s="7">
        <f>$B15 * IFERROR(VLOOKUP("industry|NOx|Work loss days", US_national_yearly!$D:$AM, 20, FALSE) / VLOOKUP("industry|NOx|Work loss days", US_national_yearly!$D:$AM, 10, FALSE), 1)</f>
        <v>1.3143818840463437E-2</v>
      </c>
      <c r="M15" s="7">
        <f>$B15 * IFERROR(VLOOKUP("industry|NOx|Work loss days", US_national_yearly!$D:$AM, 21, FALSE) / VLOOKUP("industry|NOx|Work loss days", US_national_yearly!$D:$AM, 10, FALSE), 1)</f>
        <v>1.320917372486838E-2</v>
      </c>
      <c r="N15" s="7">
        <f>$B15 * IFERROR(VLOOKUP("industry|NOx|Work loss days", US_national_yearly!$D:$AM, 22, FALSE) / VLOOKUP("industry|NOx|Work loss days", US_national_yearly!$D:$AM, 10, FALSE), 1)</f>
        <v>1.3294643092701298E-2</v>
      </c>
      <c r="O15" s="7">
        <f>$B15 * IFERROR(VLOOKUP("industry|NOx|Work loss days", US_national_yearly!$D:$AM, 23, FALSE) / VLOOKUP("industry|NOx|Work loss days", US_national_yearly!$D:$AM, 10, FALSE), 1)</f>
        <v>1.338011246053422E-2</v>
      </c>
      <c r="P15" s="7">
        <f>$B15 * IFERROR(VLOOKUP("industry|NOx|Work loss days", US_national_yearly!$D:$AM, 24, FALSE) / VLOOKUP("industry|NOx|Work loss days", US_national_yearly!$D:$AM, 10, FALSE), 1)</f>
        <v>1.346558182836714E-2</v>
      </c>
      <c r="Q15" s="7">
        <f>$B15 * IFERROR(VLOOKUP("industry|NOx|Work loss days", US_national_yearly!$D:$AM, 25, FALSE) / VLOOKUP("industry|NOx|Work loss days", US_national_yearly!$D:$AM, 10, FALSE), 1)</f>
        <v>1.3551051196200058E-2</v>
      </c>
      <c r="R15" s="7">
        <f>$B15 * IFERROR(VLOOKUP("industry|NOx|Work loss days", US_national_yearly!$D:$AM, 26, FALSE) / VLOOKUP("industry|NOx|Work loss days", US_national_yearly!$D:$AM, 10, FALSE), 1)</f>
        <v>1.3636520564032979E-2</v>
      </c>
      <c r="S15" s="7">
        <f>$B15 * IFERROR(VLOOKUP("industry|NOx|Work loss days", US_national_yearly!$D:$AM, 27, FALSE) / VLOOKUP("industry|NOx|Work loss days", US_national_yearly!$D:$AM, 10, FALSE), 1)</f>
        <v>1.3732070140227513E-2</v>
      </c>
      <c r="T15" s="7">
        <f>$B15 * IFERROR(VLOOKUP("industry|NOx|Work loss days", US_national_yearly!$D:$AM, 28, FALSE) / VLOOKUP("industry|NOx|Work loss days", US_national_yearly!$D:$AM, 10, FALSE), 1)</f>
        <v>1.3827619716422048E-2</v>
      </c>
      <c r="U15" s="7">
        <f>$B15 * IFERROR(VLOOKUP("industry|NOx|Work loss days", US_national_yearly!$D:$AM, 29, FALSE) / VLOOKUP("industry|NOx|Work loss days", US_national_yearly!$D:$AM, 10, FALSE), 1)</f>
        <v>1.3923169292616585E-2</v>
      </c>
      <c r="V15" s="7">
        <f>$B15 * IFERROR(VLOOKUP("industry|NOx|Work loss days", US_national_yearly!$D:$AM, 30, FALSE) / VLOOKUP("industry|NOx|Work loss days", US_national_yearly!$D:$AM, 10, FALSE), 1)</f>
        <v>1.4018718868811116E-2</v>
      </c>
      <c r="W15" s="7">
        <f>$B15 * IFERROR(VLOOKUP("industry|NOx|Work loss days", US_national_yearly!$D:$AM, 31, FALSE) / VLOOKUP("industry|NOx|Work loss days", US_national_yearly!$D:$AM, 10, FALSE), 1)</f>
        <v>1.4114268445005653E-2</v>
      </c>
      <c r="X15" s="7">
        <f>$B15 * IFERROR(VLOOKUP("industry|NOx|Work loss days", US_national_yearly!$D:$AM, 32, FALSE) / VLOOKUP("industry|NOx|Work loss days", US_national_yearly!$D:$AM, 10, FALSE), 1)</f>
        <v>1.4197161034645541E-2</v>
      </c>
      <c r="Y15" s="7">
        <f>$B15 * IFERROR(VLOOKUP("industry|NOx|Work loss days", US_national_yearly!$D:$AM, 33, FALSE) / VLOOKUP("industry|NOx|Work loss days", US_national_yearly!$D:$AM, 10, FALSE), 1)</f>
        <v>1.428005362428543E-2</v>
      </c>
      <c r="Z15" s="7">
        <f>$B15 * IFERROR(VLOOKUP("industry|NOx|Work loss days", US_national_yearly!$D:$AM, 34, FALSE) / VLOOKUP("industry|NOx|Work loss days", US_national_yearly!$D:$AM, 10, FALSE), 1)</f>
        <v>1.436294621392532E-2</v>
      </c>
      <c r="AA15" s="7">
        <f>$B15 * IFERROR(VLOOKUP("industry|NOx|Work loss days", US_national_yearly!$D:$AM, 35, FALSE) / VLOOKUP("industry|NOx|Work loss days", US_national_yearly!$D:$AM, 10, FALSE), 1)</f>
        <v>1.4445838803565208E-2</v>
      </c>
      <c r="AB15" s="7">
        <f>$B15 * IFERROR(VLOOKUP("industry|NOx|Work loss days", US_national_yearly!$D:$AM, 36, FALSE) / VLOOKUP("industry|NOx|Work loss days", US_national_yearly!$D:$AM, 10, FALSE), 1)</f>
        <v>1.4528731393205097E-2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8.6411613774569794E-5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8.8948889573680414E-5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9.1486165372791048E-5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9.4023441171901668E-5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9.6560716971012315E-5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9.8972205163752361E-5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1.0138369335649243E-4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1.0341675239126763E-4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1.0544981142604283E-4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1.0748287046081799E-4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1.0951592949559319E-4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1.1154898853036836E-4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1.1282176714795633E-4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1.1409454576554428E-4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1.1536732438313223E-4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1.166401030007202E-4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1.1791288161830813E-4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1.1850003942707507E-4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1.19087197235842E-4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1.1967435504460894E-4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1.2026151285337586E-4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1.208486706621428E-4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1.2118041072060178E-4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1.2151215077906076E-4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1.2184389083751974E-4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1.2217563089597869E-4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1.2250737095443768E-4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4.7160792299635159E-3</v>
      </c>
      <c r="C2" s="7">
        <f>$B2 * IFERROR(VLOOKUP("industry|SO2|Premature mortality", US_national_yearly!$D:$AM, 11, FALSE) / VLOOKUP("industry|SO2|Premature mortality", US_national_yearly!$D:$AM, 10, FALSE), 1)</f>
        <v>4.7758645074684721E-3</v>
      </c>
      <c r="D2" s="7">
        <f>$B2 * IFERROR(VLOOKUP("industry|SO2|Premature mortality", US_national_yearly!$D:$AM, 12, FALSE) / VLOOKUP("industry|SO2|Premature mortality", US_national_yearly!$D:$AM, 10, FALSE), 1)</f>
        <v>4.8356497849734274E-3</v>
      </c>
      <c r="E2" s="7">
        <f>$B2 * IFERROR(VLOOKUP("industry|SO2|Premature mortality", US_national_yearly!$D:$AM, 13, FALSE) / VLOOKUP("industry|SO2|Premature mortality", US_national_yearly!$D:$AM, 10, FALSE), 1)</f>
        <v>4.8954350624783819E-3</v>
      </c>
      <c r="F2" s="7">
        <f>$B2 * IFERROR(VLOOKUP("industry|SO2|Premature mortality", US_national_yearly!$D:$AM, 14, FALSE) / VLOOKUP("industry|SO2|Premature mortality", US_national_yearly!$D:$AM, 10, FALSE), 1)</f>
        <v>4.9552203399833381E-3</v>
      </c>
      <c r="G2" s="7">
        <f>$B2 * IFERROR(VLOOKUP("industry|SO2|Premature mortality", US_national_yearly!$D:$AM, 15, FALSE) / VLOOKUP("industry|SO2|Premature mortality", US_national_yearly!$D:$AM, 10, FALSE), 1)</f>
        <v>5.0704542871203417E-3</v>
      </c>
      <c r="H2" s="7">
        <f>$B2 * IFERROR(VLOOKUP("industry|SO2|Premature mortality", US_national_yearly!$D:$AM, 16, FALSE) / VLOOKUP("industry|SO2|Premature mortality", US_national_yearly!$D:$AM, 10, FALSE), 1)</f>
        <v>5.1856882342573452E-3</v>
      </c>
      <c r="I2" s="7">
        <f>$B2 * IFERROR(VLOOKUP("industry|SO2|Premature mortality", US_national_yearly!$D:$AM, 17, FALSE) / VLOOKUP("industry|SO2|Premature mortality", US_national_yearly!$D:$AM, 10, FALSE), 1)</f>
        <v>5.2619927812743517E-3</v>
      </c>
      <c r="J2" s="7">
        <f>$B2 * IFERROR(VLOOKUP("industry|SO2|Premature mortality", US_national_yearly!$D:$AM, 18, FALSE) / VLOOKUP("industry|SO2|Premature mortality", US_national_yearly!$D:$AM, 10, FALSE), 1)</f>
        <v>5.3382973282913573E-3</v>
      </c>
      <c r="K2" s="7">
        <f>$B2 * IFERROR(VLOOKUP("industry|SO2|Premature mortality", US_national_yearly!$D:$AM, 19, FALSE) / VLOOKUP("industry|SO2|Premature mortality", US_national_yearly!$D:$AM, 10, FALSE), 1)</f>
        <v>5.414601875308362E-3</v>
      </c>
      <c r="L2" s="7">
        <f>$B2 * IFERROR(VLOOKUP("industry|SO2|Premature mortality", US_national_yearly!$D:$AM, 20, FALSE) / VLOOKUP("industry|SO2|Premature mortality", US_national_yearly!$D:$AM, 10, FALSE), 1)</f>
        <v>5.4909064223253685E-3</v>
      </c>
      <c r="M2" s="7">
        <f>$B2 * IFERROR(VLOOKUP("industry|SO2|Premature mortality", US_national_yearly!$D:$AM, 21, FALSE) / VLOOKUP("industry|SO2|Premature mortality", US_national_yearly!$D:$AM, 10, FALSE), 1)</f>
        <v>5.5672109693423741E-3</v>
      </c>
      <c r="N2" s="7">
        <f>$B2 * IFERROR(VLOOKUP("industry|SO2|Premature mortality", US_national_yearly!$D:$AM, 22, FALSE) / VLOOKUP("industry|SO2|Premature mortality", US_national_yearly!$D:$AM, 10, FALSE), 1)</f>
        <v>5.6268992673826502E-3</v>
      </c>
      <c r="O2" s="7">
        <f>$B2 * IFERROR(VLOOKUP("industry|SO2|Premature mortality", US_national_yearly!$D:$AM, 23, FALSE) / VLOOKUP("industry|SO2|Premature mortality", US_national_yearly!$D:$AM, 10, FALSE), 1)</f>
        <v>5.6865875654229271E-3</v>
      </c>
      <c r="P2" s="7">
        <f>$B2 * IFERROR(VLOOKUP("industry|SO2|Premature mortality", US_national_yearly!$D:$AM, 24, FALSE) / VLOOKUP("industry|SO2|Premature mortality", US_national_yearly!$D:$AM, 10, FALSE), 1)</f>
        <v>5.7462758634632041E-3</v>
      </c>
      <c r="Q2" s="7">
        <f>$B2 * IFERROR(VLOOKUP("industry|SO2|Premature mortality", US_national_yearly!$D:$AM, 25, FALSE) / VLOOKUP("industry|SO2|Premature mortality", US_national_yearly!$D:$AM, 10, FALSE), 1)</f>
        <v>5.8059641615034801E-3</v>
      </c>
      <c r="R2" s="7">
        <f>$B2 * IFERROR(VLOOKUP("industry|SO2|Premature mortality", US_national_yearly!$D:$AM, 26, FALSE) / VLOOKUP("industry|SO2|Premature mortality", US_national_yearly!$D:$AM, 10, FALSE), 1)</f>
        <v>5.8656524595437571E-3</v>
      </c>
      <c r="S2" s="7">
        <f>$B2 * IFERROR(VLOOKUP("industry|SO2|Premature mortality", US_national_yearly!$D:$AM, 27, FALSE) / VLOOKUP("industry|SO2|Premature mortality", US_national_yearly!$D:$AM, 10, FALSE), 1)</f>
        <v>5.8978808522163577E-3</v>
      </c>
      <c r="T2" s="7">
        <f>$B2 * IFERROR(VLOOKUP("industry|SO2|Premature mortality", US_national_yearly!$D:$AM, 28, FALSE) / VLOOKUP("industry|SO2|Premature mortality", US_national_yearly!$D:$AM, 10, FALSE), 1)</f>
        <v>5.9301092448889583E-3</v>
      </c>
      <c r="U2" s="7">
        <f>$B2 * IFERROR(VLOOKUP("industry|SO2|Premature mortality", US_national_yearly!$D:$AM, 29, FALSE) / VLOOKUP("industry|SO2|Premature mortality", US_national_yearly!$D:$AM, 10, FALSE), 1)</f>
        <v>5.9623376375615615E-3</v>
      </c>
      <c r="V2" s="7">
        <f>$B2 * IFERROR(VLOOKUP("industry|SO2|Premature mortality", US_national_yearly!$D:$AM, 30, FALSE) / VLOOKUP("industry|SO2|Premature mortality", US_national_yearly!$D:$AM, 10, FALSE), 1)</f>
        <v>5.994566030234163E-3</v>
      </c>
      <c r="W2" s="7">
        <f>$B2 * IFERROR(VLOOKUP("industry|SO2|Premature mortality", US_national_yearly!$D:$AM, 31, FALSE) / VLOOKUP("industry|SO2|Premature mortality", US_national_yearly!$D:$AM, 10, FALSE), 1)</f>
        <v>6.0267944229067637E-3</v>
      </c>
      <c r="X2" s="7">
        <f>$B2 * IFERROR(VLOOKUP("industry|SO2|Premature mortality", US_national_yearly!$D:$AM, 32, FALSE) / VLOOKUP("industry|SO2|Premature mortality", US_national_yearly!$D:$AM, 10, FALSE), 1)</f>
        <v>6.0337309564240859E-3</v>
      </c>
      <c r="Y2" s="7">
        <f>$B2 * IFERROR(VLOOKUP("industry|SO2|Premature mortality", US_national_yearly!$D:$AM, 33, FALSE) / VLOOKUP("industry|SO2|Premature mortality", US_national_yearly!$D:$AM, 10, FALSE), 1)</f>
        <v>6.0406674899414082E-3</v>
      </c>
      <c r="Z2" s="7">
        <f>$B2 * IFERROR(VLOOKUP("industry|SO2|Premature mortality", US_national_yearly!$D:$AM, 34, FALSE) / VLOOKUP("industry|SO2|Premature mortality", US_national_yearly!$D:$AM, 10, FALSE), 1)</f>
        <v>6.0476040234587313E-3</v>
      </c>
      <c r="AA2" s="7">
        <f>$B2 * IFERROR(VLOOKUP("industry|SO2|Premature mortality", US_national_yearly!$D:$AM, 35, FALSE) / VLOOKUP("industry|SO2|Premature mortality", US_national_yearly!$D:$AM, 10, FALSE), 1)</f>
        <v>6.0545405569760536E-3</v>
      </c>
      <c r="AB2" s="7">
        <f>$B2 * IFERROR(VLOOKUP("industry|SO2|Premature mortality", US_national_yearly!$D:$AM, 36, FALSE) / VLOOKUP("industry|SO2|Premature mortality", US_national_yearly!$D:$AM, 10, FALSE), 1)</f>
        <v>6.061477090493375E-3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1.2686210253403414E-5</v>
      </c>
      <c r="C3" s="7">
        <f>$B3 * IFERROR(VLOOKUP("industry|SO2|Infant mortality", US_national_yearly!$D:$AM, 11, FALSE) / VLOOKUP("industry|SO2|Infant mortality", US_national_yearly!$D:$AM, 10, FALSE), 1)</f>
        <v>1.2577069808273957E-5</v>
      </c>
      <c r="D3" s="7">
        <f>$B3 * IFERROR(VLOOKUP("industry|SO2|Infant mortality", US_national_yearly!$D:$AM, 12, FALSE) / VLOOKUP("industry|SO2|Infant mortality", US_national_yearly!$D:$AM, 10, FALSE), 1)</f>
        <v>1.2467929363144503E-5</v>
      </c>
      <c r="E3" s="7">
        <f>$B3 * IFERROR(VLOOKUP("industry|SO2|Infant mortality", US_national_yearly!$D:$AM, 13, FALSE) / VLOOKUP("industry|SO2|Infant mortality", US_national_yearly!$D:$AM, 10, FALSE), 1)</f>
        <v>1.2358788918015045E-5</v>
      </c>
      <c r="F3" s="7">
        <f>$B3 * IFERROR(VLOOKUP("industry|SO2|Infant mortality", US_national_yearly!$D:$AM, 14, FALSE) / VLOOKUP("industry|SO2|Infant mortality", US_national_yearly!$D:$AM, 10, FALSE), 1)</f>
        <v>1.2249648472885589E-5</v>
      </c>
      <c r="G3" s="7">
        <f>$B3 * IFERROR(VLOOKUP("industry|SO2|Infant mortality", US_national_yearly!$D:$AM, 15, FALSE) / VLOOKUP("industry|SO2|Infant mortality", US_national_yearly!$D:$AM, 10, FALSE), 1)</f>
        <v>8.1545707307553486E-6</v>
      </c>
      <c r="H3" s="7">
        <f>$B3 * IFERROR(VLOOKUP("industry|SO2|Infant mortality", US_national_yearly!$D:$AM, 16, FALSE) / VLOOKUP("industry|SO2|Infant mortality", US_national_yearly!$D:$AM, 10, FALSE), 1)</f>
        <v>4.059492988625108E-6</v>
      </c>
      <c r="I3" s="7">
        <f>$B3 * IFERROR(VLOOKUP("industry|SO2|Infant mortality", US_national_yearly!$D:$AM, 17, FALSE) / VLOOKUP("industry|SO2|Infant mortality", US_national_yearly!$D:$AM, 10, FALSE), 1)</f>
        <v>4.0337155543844686E-6</v>
      </c>
      <c r="J3" s="7">
        <f>$B3 * IFERROR(VLOOKUP("industry|SO2|Infant mortality", US_national_yearly!$D:$AM, 18, FALSE) / VLOOKUP("industry|SO2|Infant mortality", US_national_yearly!$D:$AM, 10, FALSE), 1)</f>
        <v>4.0079381201438291E-6</v>
      </c>
      <c r="K3" s="7">
        <f>$B3 * IFERROR(VLOOKUP("industry|SO2|Infant mortality", US_national_yearly!$D:$AM, 19, FALSE) / VLOOKUP("industry|SO2|Infant mortality", US_national_yearly!$D:$AM, 10, FALSE), 1)</f>
        <v>3.9821606859031889E-6</v>
      </c>
      <c r="L3" s="7">
        <f>$B3 * IFERROR(VLOOKUP("industry|SO2|Infant mortality", US_national_yearly!$D:$AM, 20, FALSE) / VLOOKUP("industry|SO2|Infant mortality", US_national_yearly!$D:$AM, 10, FALSE), 1)</f>
        <v>3.9563832516625494E-6</v>
      </c>
      <c r="M3" s="7">
        <f>$B3 * IFERROR(VLOOKUP("industry|SO2|Infant mortality", US_national_yearly!$D:$AM, 21, FALSE) / VLOOKUP("industry|SO2|Infant mortality", US_national_yearly!$D:$AM, 10, FALSE), 1)</f>
        <v>3.93060581742191E-6</v>
      </c>
      <c r="N3" s="7">
        <f>$B3 * IFERROR(VLOOKUP("industry|SO2|Infant mortality", US_national_yearly!$D:$AM, 22, FALSE) / VLOOKUP("industry|SO2|Infant mortality", US_national_yearly!$D:$AM, 10, FALSE), 1)</f>
        <v>3.9142679584991548E-6</v>
      </c>
      <c r="O3" s="7">
        <f>$B3 * IFERROR(VLOOKUP("industry|SO2|Infant mortality", US_national_yearly!$D:$AM, 23, FALSE) / VLOOKUP("industry|SO2|Infant mortality", US_national_yearly!$D:$AM, 10, FALSE), 1)</f>
        <v>3.8979300995764004E-6</v>
      </c>
      <c r="P3" s="7">
        <f>$B3 * IFERROR(VLOOKUP("industry|SO2|Infant mortality", US_national_yearly!$D:$AM, 24, FALSE) / VLOOKUP("industry|SO2|Infant mortality", US_national_yearly!$D:$AM, 10, FALSE), 1)</f>
        <v>3.8815922406536452E-6</v>
      </c>
      <c r="Q3" s="7">
        <f>$B3 * IFERROR(VLOOKUP("industry|SO2|Infant mortality", US_national_yearly!$D:$AM, 25, FALSE) / VLOOKUP("industry|SO2|Infant mortality", US_national_yearly!$D:$AM, 10, FALSE), 1)</f>
        <v>3.8652543817308908E-6</v>
      </c>
      <c r="R3" s="7">
        <f>$B3 * IFERROR(VLOOKUP("industry|SO2|Infant mortality", US_national_yearly!$D:$AM, 26, FALSE) / VLOOKUP("industry|SO2|Infant mortality", US_national_yearly!$D:$AM, 10, FALSE), 1)</f>
        <v>3.8489165228081356E-6</v>
      </c>
      <c r="S3" s="7">
        <f>$B3 * IFERROR(VLOOKUP("industry|SO2|Infant mortality", US_national_yearly!$D:$AM, 27, FALSE) / VLOOKUP("industry|SO2|Infant mortality", US_national_yearly!$D:$AM, 10, FALSE), 1)</f>
        <v>3.8285842437559021E-6</v>
      </c>
      <c r="T3" s="7">
        <f>$B3 * IFERROR(VLOOKUP("industry|SO2|Infant mortality", US_national_yearly!$D:$AM, 28, FALSE) / VLOOKUP("industry|SO2|Infant mortality", US_national_yearly!$D:$AM, 10, FALSE), 1)</f>
        <v>3.8082519647036678E-6</v>
      </c>
      <c r="U3" s="7">
        <f>$B3 * IFERROR(VLOOKUP("industry|SO2|Infant mortality", US_national_yearly!$D:$AM, 29, FALSE) / VLOOKUP("industry|SO2|Infant mortality", US_national_yearly!$D:$AM, 10, FALSE), 1)</f>
        <v>3.7879196856514339E-6</v>
      </c>
      <c r="V3" s="7">
        <f>$B3 * IFERROR(VLOOKUP("industry|SO2|Infant mortality", US_national_yearly!$D:$AM, 30, FALSE) / VLOOKUP("industry|SO2|Infant mortality", US_national_yearly!$D:$AM, 10, FALSE), 1)</f>
        <v>3.7675874065991996E-6</v>
      </c>
      <c r="W3" s="7">
        <f>$B3 * IFERROR(VLOOKUP("industry|SO2|Infant mortality", US_national_yearly!$D:$AM, 31, FALSE) / VLOOKUP("industry|SO2|Infant mortality", US_national_yearly!$D:$AM, 10, FALSE), 1)</f>
        <v>3.7472551275469657E-6</v>
      </c>
      <c r="X3" s="7">
        <f>$B3 * IFERROR(VLOOKUP("industry|SO2|Infant mortality", US_national_yearly!$D:$AM, 32, FALSE) / VLOOKUP("industry|SO2|Infant mortality", US_national_yearly!$D:$AM, 10, FALSE), 1)</f>
        <v>3.7251600077981073E-6</v>
      </c>
      <c r="Y3" s="7">
        <f>$B3 * IFERROR(VLOOKUP("industry|SO2|Infant mortality", US_national_yearly!$D:$AM, 33, FALSE) / VLOOKUP("industry|SO2|Infant mortality", US_national_yearly!$D:$AM, 10, FALSE), 1)</f>
        <v>3.7030648880492493E-6</v>
      </c>
      <c r="Z3" s="7">
        <f>$B3 * IFERROR(VLOOKUP("industry|SO2|Infant mortality", US_national_yearly!$D:$AM, 34, FALSE) / VLOOKUP("industry|SO2|Infant mortality", US_national_yearly!$D:$AM, 10, FALSE), 1)</f>
        <v>3.6809697683003909E-6</v>
      </c>
      <c r="AA3" s="7">
        <f>$B3 * IFERROR(VLOOKUP("industry|SO2|Infant mortality", US_national_yearly!$D:$AM, 35, FALSE) / VLOOKUP("industry|SO2|Infant mortality", US_national_yearly!$D:$AM, 10, FALSE), 1)</f>
        <v>3.6588746485515326E-6</v>
      </c>
      <c r="AB3" s="7">
        <f>$B3 * IFERROR(VLOOKUP("industry|SO2|Infant mortality", US_national_yearly!$D:$AM, 36, FALSE) / VLOOKUP("industry|SO2|Infant mortality", US_national_yearly!$D:$AM, 10, FALSE), 1)</f>
        <v>3.6367795288026746E-6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1.0671042842820489E-2</v>
      </c>
      <c r="C6" s="7">
        <f>$B6 * IFERROR(VLOOKUP("industry|SO2|Asthma symptoms cough", US_national_yearly!$D:$AM, 11, FALSE) / VLOOKUP("industry|SO2|Asthma symptoms cough", US_national_yearly!$D:$AM, 10, FALSE), 1)</f>
        <v>1.0671042842820489E-2</v>
      </c>
      <c r="D6" s="7">
        <f>$B6 * IFERROR(VLOOKUP("industry|SO2|Asthma symptoms cough", US_national_yearly!$D:$AM, 12, FALSE) / VLOOKUP("industry|SO2|Asthma symptoms cough", US_national_yearly!$D:$AM, 10, FALSE), 1)</f>
        <v>1.0671042842820489E-2</v>
      </c>
      <c r="E6" s="7">
        <f>$B6 * IFERROR(VLOOKUP("industry|SO2|Asthma symptoms cough", US_national_yearly!$D:$AM, 13, FALSE) / VLOOKUP("industry|SO2|Asthma symptoms cough", US_national_yearly!$D:$AM, 10, FALSE), 1)</f>
        <v>1.0671042842820489E-2</v>
      </c>
      <c r="F6" s="7">
        <f>$B6 * IFERROR(VLOOKUP("industry|SO2|Asthma symptoms cough", US_national_yearly!$D:$AM, 14, FALSE) / VLOOKUP("industry|SO2|Asthma symptoms cough", US_national_yearly!$D:$AM, 10, FALSE), 1)</f>
        <v>1.0671042842820489E-2</v>
      </c>
      <c r="G6" s="7">
        <f>$B6 * IFERROR(VLOOKUP("industry|SO2|Asthma symptoms cough", US_national_yearly!$D:$AM, 15, FALSE) / VLOOKUP("industry|SO2|Asthma symptoms cough", US_national_yearly!$D:$AM, 10, FALSE), 1)</f>
        <v>1.0671042842820489E-2</v>
      </c>
      <c r="H6" s="7">
        <f>$B6 * IFERROR(VLOOKUP("industry|SO2|Asthma symptoms cough", US_national_yearly!$D:$AM, 16, FALSE) / VLOOKUP("industry|SO2|Asthma symptoms cough", US_national_yearly!$D:$AM, 10, FALSE), 1)</f>
        <v>1.0671042842820489E-2</v>
      </c>
      <c r="I6" s="7">
        <f>$B6 * IFERROR(VLOOKUP("industry|SO2|Asthma symptoms cough", US_national_yearly!$D:$AM, 17, FALSE) / VLOOKUP("industry|SO2|Asthma symptoms cough", US_national_yearly!$D:$AM, 10, FALSE), 1)</f>
        <v>1.0671042842820489E-2</v>
      </c>
      <c r="J6" s="7">
        <f>$B6 * IFERROR(VLOOKUP("industry|SO2|Asthma symptoms cough", US_national_yearly!$D:$AM, 18, FALSE) / VLOOKUP("industry|SO2|Asthma symptoms cough", US_national_yearly!$D:$AM, 10, FALSE), 1)</f>
        <v>1.0671042842820489E-2</v>
      </c>
      <c r="K6" s="7">
        <f>$B6 * IFERROR(VLOOKUP("industry|SO2|Asthma symptoms cough", US_national_yearly!$D:$AM, 19, FALSE) / VLOOKUP("industry|SO2|Asthma symptoms cough", US_national_yearly!$D:$AM, 10, FALSE), 1)</f>
        <v>1.0671042842820489E-2</v>
      </c>
      <c r="L6" s="7">
        <f>$B6 * IFERROR(VLOOKUP("industry|SO2|Asthma symptoms cough", US_national_yearly!$D:$AM, 20, FALSE) / VLOOKUP("industry|SO2|Asthma symptoms cough", US_national_yearly!$D:$AM, 10, FALSE), 1)</f>
        <v>1.0671042842820489E-2</v>
      </c>
      <c r="M6" s="7">
        <f>$B6 * IFERROR(VLOOKUP("industry|SO2|Asthma symptoms cough", US_national_yearly!$D:$AM, 21, FALSE) / VLOOKUP("industry|SO2|Asthma symptoms cough", US_national_yearly!$D:$AM, 10, FALSE), 1)</f>
        <v>1.0671042842820489E-2</v>
      </c>
      <c r="N6" s="7">
        <f>$B6 * IFERROR(VLOOKUP("industry|SO2|Asthma symptoms cough", US_national_yearly!$D:$AM, 22, FALSE) / VLOOKUP("industry|SO2|Asthma symptoms cough", US_national_yearly!$D:$AM, 10, FALSE), 1)</f>
        <v>1.0671042842820489E-2</v>
      </c>
      <c r="O6" s="7">
        <f>$B6 * IFERROR(VLOOKUP("industry|SO2|Asthma symptoms cough", US_national_yearly!$D:$AM, 23, FALSE) / VLOOKUP("industry|SO2|Asthma symptoms cough", US_national_yearly!$D:$AM, 10, FALSE), 1)</f>
        <v>1.0671042842820489E-2</v>
      </c>
      <c r="P6" s="7">
        <f>$B6 * IFERROR(VLOOKUP("industry|SO2|Asthma symptoms cough", US_national_yearly!$D:$AM, 24, FALSE) / VLOOKUP("industry|SO2|Asthma symptoms cough", US_national_yearly!$D:$AM, 10, FALSE), 1)</f>
        <v>1.0671042842820489E-2</v>
      </c>
      <c r="Q6" s="7">
        <f>$B6 * IFERROR(VLOOKUP("industry|SO2|Asthma symptoms cough", US_national_yearly!$D:$AM, 25, FALSE) / VLOOKUP("industry|SO2|Asthma symptoms cough", US_national_yearly!$D:$AM, 10, FALSE), 1)</f>
        <v>1.0671042842820489E-2</v>
      </c>
      <c r="R6" s="7">
        <f>$B6 * IFERROR(VLOOKUP("industry|SO2|Asthma symptoms cough", US_national_yearly!$D:$AM, 26, FALSE) / VLOOKUP("industry|SO2|Asthma symptoms cough", US_national_yearly!$D:$AM, 10, FALSE), 1)</f>
        <v>1.0671042842820489E-2</v>
      </c>
      <c r="S6" s="7">
        <f>$B6 * IFERROR(VLOOKUP("industry|SO2|Asthma symptoms cough", US_national_yearly!$D:$AM, 27, FALSE) / VLOOKUP("industry|SO2|Asthma symptoms cough", US_national_yearly!$D:$AM, 10, FALSE), 1)</f>
        <v>1.0671042842820489E-2</v>
      </c>
      <c r="T6" s="7">
        <f>$B6 * IFERROR(VLOOKUP("industry|SO2|Asthma symptoms cough", US_national_yearly!$D:$AM, 28, FALSE) / VLOOKUP("industry|SO2|Asthma symptoms cough", US_national_yearly!$D:$AM, 10, FALSE), 1)</f>
        <v>1.0671042842820489E-2</v>
      </c>
      <c r="U6" s="7">
        <f>$B6 * IFERROR(VLOOKUP("industry|SO2|Asthma symptoms cough", US_national_yearly!$D:$AM, 29, FALSE) / VLOOKUP("industry|SO2|Asthma symptoms cough", US_national_yearly!$D:$AM, 10, FALSE), 1)</f>
        <v>1.0671042842820489E-2</v>
      </c>
      <c r="V6" s="7">
        <f>$B6 * IFERROR(VLOOKUP("industry|SO2|Asthma symptoms cough", US_national_yearly!$D:$AM, 30, FALSE) / VLOOKUP("industry|SO2|Asthma symptoms cough", US_national_yearly!$D:$AM, 10, FALSE), 1)</f>
        <v>1.0671042842820489E-2</v>
      </c>
      <c r="W6" s="7">
        <f>$B6 * IFERROR(VLOOKUP("industry|SO2|Asthma symptoms cough", US_national_yearly!$D:$AM, 31, FALSE) / VLOOKUP("industry|SO2|Asthma symptoms cough", US_national_yearly!$D:$AM, 10, FALSE), 1)</f>
        <v>1.0671042842820489E-2</v>
      </c>
      <c r="X6" s="7">
        <f>$B6 * IFERROR(VLOOKUP("industry|SO2|Asthma symptoms cough", US_national_yearly!$D:$AM, 32, FALSE) / VLOOKUP("industry|SO2|Asthma symptoms cough", US_national_yearly!$D:$AM, 10, FALSE), 1)</f>
        <v>1.0671042842820489E-2</v>
      </c>
      <c r="Y6" s="7">
        <f>$B6 * IFERROR(VLOOKUP("industry|SO2|Asthma symptoms cough", US_national_yearly!$D:$AM, 33, FALSE) / VLOOKUP("industry|SO2|Asthma symptoms cough", US_national_yearly!$D:$AM, 10, FALSE), 1)</f>
        <v>1.0671042842820489E-2</v>
      </c>
      <c r="Z6" s="7">
        <f>$B6 * IFERROR(VLOOKUP("industry|SO2|Asthma symptoms cough", US_national_yearly!$D:$AM, 34, FALSE) / VLOOKUP("industry|SO2|Asthma symptoms cough", US_national_yearly!$D:$AM, 10, FALSE), 1)</f>
        <v>1.0671042842820489E-2</v>
      </c>
      <c r="AA6" s="7">
        <f>$B6 * IFERROR(VLOOKUP("industry|SO2|Asthma symptoms cough", US_national_yearly!$D:$AM, 35, FALSE) / VLOOKUP("industry|SO2|Asthma symptoms cough", US_national_yearly!$D:$AM, 10, FALSE), 1)</f>
        <v>1.0671042842820489E-2</v>
      </c>
      <c r="AB6" s="7">
        <f>$B6 * IFERROR(VLOOKUP("industry|SO2|Asthma symptoms cough", US_national_yearly!$D:$AM, 36, FALSE) / VLOOKUP("industry|SO2|Asthma symptoms cough", US_national_yearly!$D:$AM, 10, FALSE), 1)</f>
        <v>1.0671042842820489E-2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1.4369966040148523E-2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1.4369966040148523E-2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1.4369966040148523E-2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1.4369966040148523E-2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1.4369966040148523E-2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1.4369966040148523E-2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1.4369966040148523E-2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1.4369966040148523E-2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1.4369966040148523E-2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1.4369966040148523E-2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1.4369966040148523E-2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1.4369966040148523E-2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1.4369966040148523E-2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1.4369966040148523E-2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1.4369966040148523E-2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1.4369966040148523E-2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1.4369966040148523E-2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1.4369966040148523E-2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1.4369966040148523E-2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1.4369966040148523E-2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1.4369966040148523E-2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1.4369966040148523E-2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1.4369966040148523E-2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1.4369966040148523E-2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1.4369966040148523E-2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1.4369966040148523E-2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1.4369966040148523E-2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2.1955377614569168E-2</v>
      </c>
      <c r="C8" s="7">
        <f>$B8 * IFERROR(VLOOKUP("industry|SO2|Asthma symptoms wheeze", US_national_yearly!$D:$AM, 11, FALSE) / VLOOKUP("industry|SO2|Asthma symptoms wheeze", US_national_yearly!$D:$AM, 10, FALSE), 1)</f>
        <v>2.1955377614569168E-2</v>
      </c>
      <c r="D8" s="7">
        <f>$B8 * IFERROR(VLOOKUP("industry|SO2|Asthma symptoms wheeze", US_national_yearly!$D:$AM, 12, FALSE) / VLOOKUP("industry|SO2|Asthma symptoms wheeze", US_national_yearly!$D:$AM, 10, FALSE), 1)</f>
        <v>2.1955377614569168E-2</v>
      </c>
      <c r="E8" s="7">
        <f>$B8 * IFERROR(VLOOKUP("industry|SO2|Asthma symptoms wheeze", US_national_yearly!$D:$AM, 13, FALSE) / VLOOKUP("industry|SO2|Asthma symptoms wheeze", US_national_yearly!$D:$AM, 10, FALSE), 1)</f>
        <v>2.1955377614569168E-2</v>
      </c>
      <c r="F8" s="7">
        <f>$B8 * IFERROR(VLOOKUP("industry|SO2|Asthma symptoms wheeze", US_national_yearly!$D:$AM, 14, FALSE) / VLOOKUP("industry|SO2|Asthma symptoms wheeze", US_national_yearly!$D:$AM, 10, FALSE), 1)</f>
        <v>2.1955377614569168E-2</v>
      </c>
      <c r="G8" s="7">
        <f>$B8 * IFERROR(VLOOKUP("industry|SO2|Asthma symptoms wheeze", US_national_yearly!$D:$AM, 15, FALSE) / VLOOKUP("industry|SO2|Asthma symptoms wheeze", US_national_yearly!$D:$AM, 10, FALSE), 1)</f>
        <v>2.1955377614569168E-2</v>
      </c>
      <c r="H8" s="7">
        <f>$B8 * IFERROR(VLOOKUP("industry|SO2|Asthma symptoms wheeze", US_national_yearly!$D:$AM, 16, FALSE) / VLOOKUP("industry|SO2|Asthma symptoms wheeze", US_national_yearly!$D:$AM, 10, FALSE), 1)</f>
        <v>2.1955377614569168E-2</v>
      </c>
      <c r="I8" s="7">
        <f>$B8 * IFERROR(VLOOKUP("industry|SO2|Asthma symptoms wheeze", US_national_yearly!$D:$AM, 17, FALSE) / VLOOKUP("industry|SO2|Asthma symptoms wheeze", US_national_yearly!$D:$AM, 10, FALSE), 1)</f>
        <v>2.1955377614569168E-2</v>
      </c>
      <c r="J8" s="7">
        <f>$B8 * IFERROR(VLOOKUP("industry|SO2|Asthma symptoms wheeze", US_national_yearly!$D:$AM, 18, FALSE) / VLOOKUP("industry|SO2|Asthma symptoms wheeze", US_national_yearly!$D:$AM, 10, FALSE), 1)</f>
        <v>2.1955377614569168E-2</v>
      </c>
      <c r="K8" s="7">
        <f>$B8 * IFERROR(VLOOKUP("industry|SO2|Asthma symptoms wheeze", US_national_yearly!$D:$AM, 19, FALSE) / VLOOKUP("industry|SO2|Asthma symptoms wheeze", US_national_yearly!$D:$AM, 10, FALSE), 1)</f>
        <v>2.1955377614569168E-2</v>
      </c>
      <c r="L8" s="7">
        <f>$B8 * IFERROR(VLOOKUP("industry|SO2|Asthma symptoms wheeze", US_national_yearly!$D:$AM, 20, FALSE) / VLOOKUP("industry|SO2|Asthma symptoms wheeze", US_national_yearly!$D:$AM, 10, FALSE), 1)</f>
        <v>2.1955377614569168E-2</v>
      </c>
      <c r="M8" s="7">
        <f>$B8 * IFERROR(VLOOKUP("industry|SO2|Asthma symptoms wheeze", US_national_yearly!$D:$AM, 21, FALSE) / VLOOKUP("industry|SO2|Asthma symptoms wheeze", US_national_yearly!$D:$AM, 10, FALSE), 1)</f>
        <v>2.1955377614569168E-2</v>
      </c>
      <c r="N8" s="7">
        <f>$B8 * IFERROR(VLOOKUP("industry|SO2|Asthma symptoms wheeze", US_national_yearly!$D:$AM, 22, FALSE) / VLOOKUP("industry|SO2|Asthma symptoms wheeze", US_national_yearly!$D:$AM, 10, FALSE), 1)</f>
        <v>2.1955377614569168E-2</v>
      </c>
      <c r="O8" s="7">
        <f>$B8 * IFERROR(VLOOKUP("industry|SO2|Asthma symptoms wheeze", US_national_yearly!$D:$AM, 23, FALSE) / VLOOKUP("industry|SO2|Asthma symptoms wheeze", US_national_yearly!$D:$AM, 10, FALSE), 1)</f>
        <v>2.1955377614569168E-2</v>
      </c>
      <c r="P8" s="7">
        <f>$B8 * IFERROR(VLOOKUP("industry|SO2|Asthma symptoms wheeze", US_national_yearly!$D:$AM, 24, FALSE) / VLOOKUP("industry|SO2|Asthma symptoms wheeze", US_national_yearly!$D:$AM, 10, FALSE), 1)</f>
        <v>2.1955377614569168E-2</v>
      </c>
      <c r="Q8" s="7">
        <f>$B8 * IFERROR(VLOOKUP("industry|SO2|Asthma symptoms wheeze", US_national_yearly!$D:$AM, 25, FALSE) / VLOOKUP("industry|SO2|Asthma symptoms wheeze", US_national_yearly!$D:$AM, 10, FALSE), 1)</f>
        <v>2.1955377614569168E-2</v>
      </c>
      <c r="R8" s="7">
        <f>$B8 * IFERROR(VLOOKUP("industry|SO2|Asthma symptoms wheeze", US_national_yearly!$D:$AM, 26, FALSE) / VLOOKUP("industry|SO2|Asthma symptoms wheeze", US_national_yearly!$D:$AM, 10, FALSE), 1)</f>
        <v>2.1955377614569168E-2</v>
      </c>
      <c r="S8" s="7">
        <f>$B8 * IFERROR(VLOOKUP("industry|SO2|Asthma symptoms wheeze", US_national_yearly!$D:$AM, 27, FALSE) / VLOOKUP("industry|SO2|Asthma symptoms wheeze", US_national_yearly!$D:$AM, 10, FALSE), 1)</f>
        <v>2.1955377614569168E-2</v>
      </c>
      <c r="T8" s="7">
        <f>$B8 * IFERROR(VLOOKUP("industry|SO2|Asthma symptoms wheeze", US_national_yearly!$D:$AM, 28, FALSE) / VLOOKUP("industry|SO2|Asthma symptoms wheeze", US_national_yearly!$D:$AM, 10, FALSE), 1)</f>
        <v>2.1955377614569168E-2</v>
      </c>
      <c r="U8" s="7">
        <f>$B8 * IFERROR(VLOOKUP("industry|SO2|Asthma symptoms wheeze", US_national_yearly!$D:$AM, 29, FALSE) / VLOOKUP("industry|SO2|Asthma symptoms wheeze", US_national_yearly!$D:$AM, 10, FALSE), 1)</f>
        <v>2.1955377614569168E-2</v>
      </c>
      <c r="V8" s="7">
        <f>$B8 * IFERROR(VLOOKUP("industry|SO2|Asthma symptoms wheeze", US_national_yearly!$D:$AM, 30, FALSE) / VLOOKUP("industry|SO2|Asthma symptoms wheeze", US_national_yearly!$D:$AM, 10, FALSE), 1)</f>
        <v>2.1955377614569168E-2</v>
      </c>
      <c r="W8" s="7">
        <f>$B8 * IFERROR(VLOOKUP("industry|SO2|Asthma symptoms wheeze", US_national_yearly!$D:$AM, 31, FALSE) / VLOOKUP("industry|SO2|Asthma symptoms wheeze", US_national_yearly!$D:$AM, 10, FALSE), 1)</f>
        <v>2.1955377614569168E-2</v>
      </c>
      <c r="X8" s="7">
        <f>$B8 * IFERROR(VLOOKUP("industry|SO2|Asthma symptoms wheeze", US_national_yearly!$D:$AM, 32, FALSE) / VLOOKUP("industry|SO2|Asthma symptoms wheeze", US_national_yearly!$D:$AM, 10, FALSE), 1)</f>
        <v>2.1955377614569168E-2</v>
      </c>
      <c r="Y8" s="7">
        <f>$B8 * IFERROR(VLOOKUP("industry|SO2|Asthma symptoms wheeze", US_national_yearly!$D:$AM, 33, FALSE) / VLOOKUP("industry|SO2|Asthma symptoms wheeze", US_national_yearly!$D:$AM, 10, FALSE), 1)</f>
        <v>2.1955377614569168E-2</v>
      </c>
      <c r="Z8" s="7">
        <f>$B8 * IFERROR(VLOOKUP("industry|SO2|Asthma symptoms wheeze", US_national_yearly!$D:$AM, 34, FALSE) / VLOOKUP("industry|SO2|Asthma symptoms wheeze", US_national_yearly!$D:$AM, 10, FALSE), 1)</f>
        <v>2.1955377614569168E-2</v>
      </c>
      <c r="AA8" s="7">
        <f>$B8 * IFERROR(VLOOKUP("industry|SO2|Asthma symptoms wheeze", US_national_yearly!$D:$AM, 35, FALSE) / VLOOKUP("industry|SO2|Asthma symptoms wheeze", US_national_yearly!$D:$AM, 10, FALSE), 1)</f>
        <v>2.1955377614569168E-2</v>
      </c>
      <c r="AB8" s="7">
        <f>$B8 * IFERROR(VLOOKUP("industry|SO2|Asthma symptoms wheeze", US_national_yearly!$D:$AM, 36, FALSE) / VLOOKUP("industry|SO2|Asthma symptoms wheeze", US_national_yearly!$D:$AM, 10, FALSE), 1)</f>
        <v>2.1955377614569168E-2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9.6078912145023689E-4</v>
      </c>
      <c r="C12" s="7">
        <f>$B12 * IFERROR(VLOOKUP("industry|SO2|Respiratory hospital admissions", US_national_yearly!$D:$AM, 11, FALSE) / VLOOKUP("industry|SO2|Respiratory hospital admissions", US_national_yearly!$D:$AM, 10, FALSE), 1)</f>
        <v>9.6641751150594222E-4</v>
      </c>
      <c r="D12" s="7">
        <f>$B12 * IFERROR(VLOOKUP("industry|SO2|Respiratory hospital admissions", US_national_yearly!$D:$AM, 12, FALSE) / VLOOKUP("industry|SO2|Respiratory hospital admissions", US_national_yearly!$D:$AM, 10, FALSE), 1)</f>
        <v>9.7204590156164754E-4</v>
      </c>
      <c r="E12" s="7">
        <f>$B12 * IFERROR(VLOOKUP("industry|SO2|Respiratory hospital admissions", US_national_yearly!$D:$AM, 13, FALSE) / VLOOKUP("industry|SO2|Respiratory hospital admissions", US_national_yearly!$D:$AM, 10, FALSE), 1)</f>
        <v>9.7767429161735287E-4</v>
      </c>
      <c r="F12" s="7">
        <f>$B12 * IFERROR(VLOOKUP("industry|SO2|Respiratory hospital admissions", US_national_yearly!$D:$AM, 14, FALSE) / VLOOKUP("industry|SO2|Respiratory hospital admissions", US_national_yearly!$D:$AM, 10, FALSE), 1)</f>
        <v>9.8330268167305841E-4</v>
      </c>
      <c r="G12" s="7">
        <f>$B12 * IFERROR(VLOOKUP("industry|SO2|Respiratory hospital admissions", US_national_yearly!$D:$AM, 15, FALSE) / VLOOKUP("industry|SO2|Respiratory hospital admissions", US_national_yearly!$D:$AM, 10, FALSE), 1)</f>
        <v>9.8943871560182501E-4</v>
      </c>
      <c r="H12" s="7">
        <f>$B12 * IFERROR(VLOOKUP("industry|SO2|Respiratory hospital admissions", US_national_yearly!$D:$AM, 16, FALSE) / VLOOKUP("industry|SO2|Respiratory hospital admissions", US_national_yearly!$D:$AM, 10, FALSE), 1)</f>
        <v>9.9557474953059161E-4</v>
      </c>
      <c r="I12" s="7">
        <f>$B12 * IFERROR(VLOOKUP("industry|SO2|Respiratory hospital admissions", US_national_yearly!$D:$AM, 17, FALSE) / VLOOKUP("industry|SO2|Respiratory hospital admissions", US_national_yearly!$D:$AM, 10, FALSE), 1)</f>
        <v>1.001601340981006E-3</v>
      </c>
      <c r="J12" s="7">
        <f>$B12 * IFERROR(VLOOKUP("industry|SO2|Respiratory hospital admissions", US_national_yearly!$D:$AM, 18, FALSE) / VLOOKUP("industry|SO2|Respiratory hospital admissions", US_national_yearly!$D:$AM, 10, FALSE), 1)</f>
        <v>1.0076279324314201E-3</v>
      </c>
      <c r="K12" s="7">
        <f>$B12 * IFERROR(VLOOKUP("industry|SO2|Respiratory hospital admissions", US_national_yearly!$D:$AM, 19, FALSE) / VLOOKUP("industry|SO2|Respiratory hospital admissions", US_national_yearly!$D:$AM, 10, FALSE), 1)</f>
        <v>1.0136545238818343E-3</v>
      </c>
      <c r="L12" s="7">
        <f>$B12 * IFERROR(VLOOKUP("industry|SO2|Respiratory hospital admissions", US_national_yearly!$D:$AM, 20, FALSE) / VLOOKUP("industry|SO2|Respiratory hospital admissions", US_national_yearly!$D:$AM, 10, FALSE), 1)</f>
        <v>1.0196811153322485E-3</v>
      </c>
      <c r="M12" s="7">
        <f>$B12 * IFERROR(VLOOKUP("industry|SO2|Respiratory hospital admissions", US_national_yearly!$D:$AM, 21, FALSE) / VLOOKUP("industry|SO2|Respiratory hospital admissions", US_national_yearly!$D:$AM, 10, FALSE), 1)</f>
        <v>1.0257077067826626E-3</v>
      </c>
      <c r="N12" s="7">
        <f>$B12 * IFERROR(VLOOKUP("industry|SO2|Respiratory hospital admissions", US_national_yearly!$D:$AM, 22, FALSE) / VLOOKUP("industry|SO2|Respiratory hospital admissions", US_national_yearly!$D:$AM, 10, FALSE), 1)</f>
        <v>1.0300686331812432E-3</v>
      </c>
      <c r="O12" s="7">
        <f>$B12 * IFERROR(VLOOKUP("industry|SO2|Respiratory hospital admissions", US_national_yearly!$D:$AM, 23, FALSE) / VLOOKUP("industry|SO2|Respiratory hospital admissions", US_national_yearly!$D:$AM, 10, FALSE), 1)</f>
        <v>1.0344295595798238E-3</v>
      </c>
      <c r="P12" s="7">
        <f>$B12 * IFERROR(VLOOKUP("industry|SO2|Respiratory hospital admissions", US_national_yearly!$D:$AM, 24, FALSE) / VLOOKUP("industry|SO2|Respiratory hospital admissions", US_national_yearly!$D:$AM, 10, FALSE), 1)</f>
        <v>1.0387904859784039E-3</v>
      </c>
      <c r="Q12" s="7">
        <f>$B12 * IFERROR(VLOOKUP("industry|SO2|Respiratory hospital admissions", US_national_yearly!$D:$AM, 25, FALSE) / VLOOKUP("industry|SO2|Respiratory hospital admissions", US_national_yearly!$D:$AM, 10, FALSE), 1)</f>
        <v>1.0431514123769845E-3</v>
      </c>
      <c r="R12" s="7">
        <f>$B12 * IFERROR(VLOOKUP("industry|SO2|Respiratory hospital admissions", US_national_yearly!$D:$AM, 26, FALSE) / VLOOKUP("industry|SO2|Respiratory hospital admissions", US_national_yearly!$D:$AM, 10, FALSE), 1)</f>
        <v>1.0475123387755649E-3</v>
      </c>
      <c r="S12" s="7">
        <f>$B12 * IFERROR(VLOOKUP("industry|SO2|Respiratory hospital admissions", US_national_yearly!$D:$AM, 27, FALSE) / VLOOKUP("industry|SO2|Respiratory hospital admissions", US_national_yearly!$D:$AM, 10, FALSE), 1)</f>
        <v>1.0516567327169999E-3</v>
      </c>
      <c r="T12" s="7">
        <f>$B12 * IFERROR(VLOOKUP("industry|SO2|Respiratory hospital admissions", US_national_yearly!$D:$AM, 28, FALSE) / VLOOKUP("industry|SO2|Respiratory hospital admissions", US_national_yearly!$D:$AM, 10, FALSE), 1)</f>
        <v>1.0558011266584345E-3</v>
      </c>
      <c r="U12" s="7">
        <f>$B12 * IFERROR(VLOOKUP("industry|SO2|Respiratory hospital admissions", US_national_yearly!$D:$AM, 29, FALSE) / VLOOKUP("industry|SO2|Respiratory hospital admissions", US_national_yearly!$D:$AM, 10, FALSE), 1)</f>
        <v>1.0599455205998693E-3</v>
      </c>
      <c r="V12" s="7">
        <f>$B12 * IFERROR(VLOOKUP("industry|SO2|Respiratory hospital admissions", US_national_yearly!$D:$AM, 30, FALSE) / VLOOKUP("industry|SO2|Respiratory hospital admissions", US_national_yearly!$D:$AM, 10, FALSE), 1)</f>
        <v>1.0640899145413043E-3</v>
      </c>
      <c r="W12" s="7">
        <f>$B12 * IFERROR(VLOOKUP("industry|SO2|Respiratory hospital admissions", US_national_yearly!$D:$AM, 31, FALSE) / VLOOKUP("industry|SO2|Respiratory hospital admissions", US_national_yearly!$D:$AM, 10, FALSE), 1)</f>
        <v>1.0682343084827391E-3</v>
      </c>
      <c r="X12" s="7">
        <f>$B12 * IFERROR(VLOOKUP("industry|SO2|Respiratory hospital admissions", US_national_yearly!$D:$AM, 32, FALSE) / VLOOKUP("industry|SO2|Respiratory hospital admissions", US_national_yearly!$D:$AM, 10, FALSE), 1)</f>
        <v>1.0721698872261443E-3</v>
      </c>
      <c r="Y12" s="7">
        <f>$B12 * IFERROR(VLOOKUP("industry|SO2|Respiratory hospital admissions", US_national_yearly!$D:$AM, 33, FALSE) / VLOOKUP("industry|SO2|Respiratory hospital admissions", US_national_yearly!$D:$AM, 10, FALSE), 1)</f>
        <v>1.07610546596955E-3</v>
      </c>
      <c r="Z12" s="7">
        <f>$B12 * IFERROR(VLOOKUP("industry|SO2|Respiratory hospital admissions", US_national_yearly!$D:$AM, 34, FALSE) / VLOOKUP("industry|SO2|Respiratory hospital admissions", US_national_yearly!$D:$AM, 10, FALSE), 1)</f>
        <v>1.0800410447129555E-3</v>
      </c>
      <c r="AA12" s="7">
        <f>$B12 * IFERROR(VLOOKUP("industry|SO2|Respiratory hospital admissions", US_national_yearly!$D:$AM, 35, FALSE) / VLOOKUP("industry|SO2|Respiratory hospital admissions", US_national_yearly!$D:$AM, 10, FALSE), 1)</f>
        <v>1.0839766234563609E-3</v>
      </c>
      <c r="AB12" s="7">
        <f>$B12 * IFERROR(VLOOKUP("industry|SO2|Respiratory hospital admissions", US_national_yearly!$D:$AM, 36, FALSE) / VLOOKUP("industry|SO2|Respiratory hospital admissions", US_national_yearly!$D:$AM, 10, FALSE), 1)</f>
        <v>1.0879122021997666E-3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5.8006802591191236E-3</v>
      </c>
      <c r="C13" s="7">
        <f>$B13 * IFERROR(VLOOKUP("industry|SO2|Non-fatal heart attacks", US_national_yearly!$D:$AM, 11, FALSE) / VLOOKUP("industry|SO2|Non-fatal heart attacks", US_national_yearly!$D:$AM, 10, FALSE), 1)</f>
        <v>5.9709664793497841E-3</v>
      </c>
      <c r="D13" s="7">
        <f>$B13 * IFERROR(VLOOKUP("industry|SO2|Non-fatal heart attacks", US_national_yearly!$D:$AM, 12, FALSE) / VLOOKUP("industry|SO2|Non-fatal heart attacks", US_national_yearly!$D:$AM, 10, FALSE), 1)</f>
        <v>6.1412526995804446E-3</v>
      </c>
      <c r="E13" s="7">
        <f>$B13 * IFERROR(VLOOKUP("industry|SO2|Non-fatal heart attacks", US_national_yearly!$D:$AM, 13, FALSE) / VLOOKUP("industry|SO2|Non-fatal heart attacks", US_national_yearly!$D:$AM, 10, FALSE), 1)</f>
        <v>6.3115389198111042E-3</v>
      </c>
      <c r="F13" s="7">
        <f>$B13 * IFERROR(VLOOKUP("industry|SO2|Non-fatal heart attacks", US_national_yearly!$D:$AM, 14, FALSE) / VLOOKUP("industry|SO2|Non-fatal heart attacks", US_national_yearly!$D:$AM, 10, FALSE), 1)</f>
        <v>6.4818251400417665E-3</v>
      </c>
      <c r="G13" s="7">
        <f>$B13 * IFERROR(VLOOKUP("industry|SO2|Non-fatal heart attacks", US_national_yearly!$D:$AM, 15, FALSE) / VLOOKUP("industry|SO2|Non-fatal heart attacks", US_national_yearly!$D:$AM, 10, FALSE), 1)</f>
        <v>6.6425276282809477E-3</v>
      </c>
      <c r="H13" s="7">
        <f>$B13 * IFERROR(VLOOKUP("industry|SO2|Non-fatal heart attacks", US_national_yearly!$D:$AM, 16, FALSE) / VLOOKUP("industry|SO2|Non-fatal heart attacks", US_national_yearly!$D:$AM, 10, FALSE), 1)</f>
        <v>6.8032301165201299E-3</v>
      </c>
      <c r="I13" s="7">
        <f>$B13 * IFERROR(VLOOKUP("industry|SO2|Non-fatal heart attacks", US_national_yearly!$D:$AM, 17, FALSE) / VLOOKUP("industry|SO2|Non-fatal heart attacks", US_national_yearly!$D:$AM, 10, FALSE), 1)</f>
        <v>6.9327841386849767E-3</v>
      </c>
      <c r="J13" s="7">
        <f>$B13 * IFERROR(VLOOKUP("industry|SO2|Non-fatal heart attacks", US_national_yearly!$D:$AM, 18, FALSE) / VLOOKUP("industry|SO2|Non-fatal heart attacks", US_national_yearly!$D:$AM, 10, FALSE), 1)</f>
        <v>7.0623381608498261E-3</v>
      </c>
      <c r="K13" s="7">
        <f>$B13 * IFERROR(VLOOKUP("industry|SO2|Non-fatal heart attacks", US_national_yearly!$D:$AM, 19, FALSE) / VLOOKUP("industry|SO2|Non-fatal heart attacks", US_national_yearly!$D:$AM, 10, FALSE), 1)</f>
        <v>7.1918921830146747E-3</v>
      </c>
      <c r="L13" s="7">
        <f>$B13 * IFERROR(VLOOKUP("industry|SO2|Non-fatal heart attacks", US_national_yearly!$D:$AM, 20, FALSE) / VLOOKUP("industry|SO2|Non-fatal heart attacks", US_national_yearly!$D:$AM, 10, FALSE), 1)</f>
        <v>7.3214462051795224E-3</v>
      </c>
      <c r="M13" s="7">
        <f>$B13 * IFERROR(VLOOKUP("industry|SO2|Non-fatal heart attacks", US_national_yearly!$D:$AM, 21, FALSE) / VLOOKUP("industry|SO2|Non-fatal heart attacks", US_national_yearly!$D:$AM, 10, FALSE), 1)</f>
        <v>7.4510002273443709E-3</v>
      </c>
      <c r="N13" s="7">
        <f>$B13 * IFERROR(VLOOKUP("industry|SO2|Non-fatal heart attacks", US_national_yearly!$D:$AM, 22, FALSE) / VLOOKUP("industry|SO2|Non-fatal heart attacks", US_national_yearly!$D:$AM, 10, FALSE), 1)</f>
        <v>7.5351654222523138E-3</v>
      </c>
      <c r="O13" s="7">
        <f>$B13 * IFERROR(VLOOKUP("industry|SO2|Non-fatal heart attacks", US_national_yearly!$D:$AM, 23, FALSE) / VLOOKUP("industry|SO2|Non-fatal heart attacks", US_national_yearly!$D:$AM, 10, FALSE), 1)</f>
        <v>7.6193306171602592E-3</v>
      </c>
      <c r="P13" s="7">
        <f>$B13 * IFERROR(VLOOKUP("industry|SO2|Non-fatal heart attacks", US_national_yearly!$D:$AM, 24, FALSE) / VLOOKUP("industry|SO2|Non-fatal heart attacks", US_national_yearly!$D:$AM, 10, FALSE), 1)</f>
        <v>7.7034958120682021E-3</v>
      </c>
      <c r="Q13" s="7">
        <f>$B13 * IFERROR(VLOOKUP("industry|SO2|Non-fatal heart attacks", US_national_yearly!$D:$AM, 25, FALSE) / VLOOKUP("industry|SO2|Non-fatal heart attacks", US_national_yearly!$D:$AM, 10, FALSE), 1)</f>
        <v>7.7876610069761449E-3</v>
      </c>
      <c r="R13" s="7">
        <f>$B13 * IFERROR(VLOOKUP("industry|SO2|Non-fatal heart attacks", US_national_yearly!$D:$AM, 26, FALSE) / VLOOKUP("industry|SO2|Non-fatal heart attacks", US_national_yearly!$D:$AM, 10, FALSE), 1)</f>
        <v>7.8718262018840895E-3</v>
      </c>
      <c r="S13" s="7">
        <f>$B13 * IFERROR(VLOOKUP("industry|SO2|Non-fatal heart attacks", US_national_yearly!$D:$AM, 27, FALSE) / VLOOKUP("industry|SO2|Non-fatal heart attacks", US_national_yearly!$D:$AM, 10, FALSE), 1)</f>
        <v>7.9160309997278622E-3</v>
      </c>
      <c r="T13" s="7">
        <f>$B13 * IFERROR(VLOOKUP("industry|SO2|Non-fatal heart attacks", US_national_yearly!$D:$AM, 28, FALSE) / VLOOKUP("industry|SO2|Non-fatal heart attacks", US_national_yearly!$D:$AM, 10, FALSE), 1)</f>
        <v>7.960235797571635E-3</v>
      </c>
      <c r="U13" s="7">
        <f>$B13 * IFERROR(VLOOKUP("industry|SO2|Non-fatal heart attacks", US_national_yearly!$D:$AM, 29, FALSE) / VLOOKUP("industry|SO2|Non-fatal heart attacks", US_national_yearly!$D:$AM, 10, FALSE), 1)</f>
        <v>8.0044405954154078E-3</v>
      </c>
      <c r="V13" s="7">
        <f>$B13 * IFERROR(VLOOKUP("industry|SO2|Non-fatal heart attacks", US_national_yearly!$D:$AM, 30, FALSE) / VLOOKUP("industry|SO2|Non-fatal heart attacks", US_national_yearly!$D:$AM, 10, FALSE), 1)</f>
        <v>8.0486453932591805E-3</v>
      </c>
      <c r="W13" s="7">
        <f>$B13 * IFERROR(VLOOKUP("industry|SO2|Non-fatal heart attacks", US_national_yearly!$D:$AM, 31, FALSE) / VLOOKUP("industry|SO2|Non-fatal heart attacks", US_national_yearly!$D:$AM, 10, FALSE), 1)</f>
        <v>8.092850191102955E-3</v>
      </c>
      <c r="X13" s="7">
        <f>$B13 * IFERROR(VLOOKUP("industry|SO2|Non-fatal heart attacks", US_national_yearly!$D:$AM, 32, FALSE) / VLOOKUP("industry|SO2|Non-fatal heart attacks", US_national_yearly!$D:$AM, 10, FALSE), 1)</f>
        <v>8.126422459443115E-3</v>
      </c>
      <c r="Y13" s="7">
        <f>$B13 * IFERROR(VLOOKUP("industry|SO2|Non-fatal heart attacks", US_national_yearly!$D:$AM, 33, FALSE) / VLOOKUP("industry|SO2|Non-fatal heart attacks", US_national_yearly!$D:$AM, 10, FALSE), 1)</f>
        <v>8.1599947277832749E-3</v>
      </c>
      <c r="Z13" s="7">
        <f>$B13 * IFERROR(VLOOKUP("industry|SO2|Non-fatal heart attacks", US_national_yearly!$D:$AM, 34, FALSE) / VLOOKUP("industry|SO2|Non-fatal heart attacks", US_national_yearly!$D:$AM, 10, FALSE), 1)</f>
        <v>8.1935669961234366E-3</v>
      </c>
      <c r="AA13" s="7">
        <f>$B13 * IFERROR(VLOOKUP("industry|SO2|Non-fatal heart attacks", US_national_yearly!$D:$AM, 35, FALSE) / VLOOKUP("industry|SO2|Non-fatal heart attacks", US_national_yearly!$D:$AM, 10, FALSE), 1)</f>
        <v>8.2271392644635982E-3</v>
      </c>
      <c r="AB13" s="7">
        <f>$B13 * IFERROR(VLOOKUP("industry|SO2|Non-fatal heart attacks", US_national_yearly!$D:$AM, 36, FALSE) / VLOOKUP("industry|SO2|Non-fatal heart attacks", US_national_yearly!$D:$AM, 10, FALSE), 1)</f>
        <v>8.2607115328037582E-3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1.3028966235065322</v>
      </c>
      <c r="C14" s="7">
        <f>$B14 * IFERROR(VLOOKUP("industry|SO2|Minor restricted activity days", US_national_yearly!$D:$AM, 11, FALSE) / VLOOKUP("industry|SO2|Minor restricted activity days", US_national_yearly!$D:$AM, 10, FALSE), 1)</f>
        <v>1.3061556748483467</v>
      </c>
      <c r="D14" s="7">
        <f>$B14 * IFERROR(VLOOKUP("industry|SO2|Minor restricted activity days", US_national_yearly!$D:$AM, 12, FALSE) / VLOOKUP("industry|SO2|Minor restricted activity days", US_national_yearly!$D:$AM, 10, FALSE), 1)</f>
        <v>1.309414726190161</v>
      </c>
      <c r="E14" s="7">
        <f>$B14 * IFERROR(VLOOKUP("industry|SO2|Minor restricted activity days", US_national_yearly!$D:$AM, 13, FALSE) / VLOOKUP("industry|SO2|Minor restricted activity days", US_national_yearly!$D:$AM, 10, FALSE), 1)</f>
        <v>1.3126737775319754</v>
      </c>
      <c r="F14" s="7">
        <f>$B14 * IFERROR(VLOOKUP("industry|SO2|Minor restricted activity days", US_national_yearly!$D:$AM, 14, FALSE) / VLOOKUP("industry|SO2|Minor restricted activity days", US_national_yearly!$D:$AM, 10, FALSE), 1)</f>
        <v>1.3159328288737899</v>
      </c>
      <c r="G14" s="7">
        <f>$B14 * IFERROR(VLOOKUP("industry|SO2|Minor restricted activity days", US_national_yearly!$D:$AM, 15, FALSE) / VLOOKUP("industry|SO2|Minor restricted activity days", US_national_yearly!$D:$AM, 10, FALSE), 1)</f>
        <v>1.3207272039437581</v>
      </c>
      <c r="H14" s="7">
        <f>$B14 * IFERROR(VLOOKUP("industry|SO2|Minor restricted activity days", US_national_yearly!$D:$AM, 16, FALSE) / VLOOKUP("industry|SO2|Minor restricted activity days", US_national_yearly!$D:$AM, 10, FALSE), 1)</f>
        <v>1.325521579013726</v>
      </c>
      <c r="I14" s="7">
        <f>$B14 * IFERROR(VLOOKUP("industry|SO2|Minor restricted activity days", US_national_yearly!$D:$AM, 17, FALSE) / VLOOKUP("industry|SO2|Minor restricted activity days", US_national_yearly!$D:$AM, 10, FALSE), 1)</f>
        <v>1.3336974386971396</v>
      </c>
      <c r="J14" s="7">
        <f>$B14 * IFERROR(VLOOKUP("industry|SO2|Minor restricted activity days", US_national_yearly!$D:$AM, 18, FALSE) / VLOOKUP("industry|SO2|Minor restricted activity days", US_national_yearly!$D:$AM, 10, FALSE), 1)</f>
        <v>1.3418732983805532</v>
      </c>
      <c r="K14" s="7">
        <f>$B14 * IFERROR(VLOOKUP("industry|SO2|Minor restricted activity days", US_national_yearly!$D:$AM, 19, FALSE) / VLOOKUP("industry|SO2|Minor restricted activity days", US_national_yearly!$D:$AM, 10, FALSE), 1)</f>
        <v>1.3500491580639666</v>
      </c>
      <c r="L14" s="7">
        <f>$B14 * IFERROR(VLOOKUP("industry|SO2|Minor restricted activity days", US_national_yearly!$D:$AM, 20, FALSE) / VLOOKUP("industry|SO2|Minor restricted activity days", US_national_yearly!$D:$AM, 10, FALSE), 1)</f>
        <v>1.3582250177473802</v>
      </c>
      <c r="M14" s="7">
        <f>$B14 * IFERROR(VLOOKUP("industry|SO2|Minor restricted activity days", US_national_yearly!$D:$AM, 21, FALSE) / VLOOKUP("industry|SO2|Minor restricted activity days", US_national_yearly!$D:$AM, 10, FALSE), 1)</f>
        <v>1.3664008774307939</v>
      </c>
      <c r="N14" s="7">
        <f>$B14 * IFERROR(VLOOKUP("industry|SO2|Minor restricted activity days", US_national_yearly!$D:$AM, 22, FALSE) / VLOOKUP("industry|SO2|Minor restricted activity days", US_national_yearly!$D:$AM, 10, FALSE), 1)</f>
        <v>1.3776109643446552</v>
      </c>
      <c r="O14" s="7">
        <f>$B14 * IFERROR(VLOOKUP("industry|SO2|Minor restricted activity days", US_national_yearly!$D:$AM, 23, FALSE) / VLOOKUP("industry|SO2|Minor restricted activity days", US_national_yearly!$D:$AM, 10, FALSE), 1)</f>
        <v>1.3888210512585166</v>
      </c>
      <c r="P14" s="7">
        <f>$B14 * IFERROR(VLOOKUP("industry|SO2|Minor restricted activity days", US_national_yearly!$D:$AM, 24, FALSE) / VLOOKUP("industry|SO2|Minor restricted activity days", US_national_yearly!$D:$AM, 10, FALSE), 1)</f>
        <v>1.400031138172378</v>
      </c>
      <c r="Q14" s="7">
        <f>$B14 * IFERROR(VLOOKUP("industry|SO2|Minor restricted activity days", US_national_yearly!$D:$AM, 25, FALSE) / VLOOKUP("industry|SO2|Minor restricted activity days", US_national_yearly!$D:$AM, 10, FALSE), 1)</f>
        <v>1.4112412250862396</v>
      </c>
      <c r="R14" s="7">
        <f>$B14 * IFERROR(VLOOKUP("industry|SO2|Minor restricted activity days", US_national_yearly!$D:$AM, 26, FALSE) / VLOOKUP("industry|SO2|Minor restricted activity days", US_national_yearly!$D:$AM, 10, FALSE), 1)</f>
        <v>1.422451312000101</v>
      </c>
      <c r="S14" s="7">
        <f>$B14 * IFERROR(VLOOKUP("industry|SO2|Minor restricted activity days", US_national_yearly!$D:$AM, 27, FALSE) / VLOOKUP("industry|SO2|Minor restricted activity days", US_national_yearly!$D:$AM, 10, FALSE), 1)</f>
        <v>1.4338921110445573</v>
      </c>
      <c r="T14" s="7">
        <f>$B14 * IFERROR(VLOOKUP("industry|SO2|Minor restricted activity days", US_national_yearly!$D:$AM, 28, FALSE) / VLOOKUP("industry|SO2|Minor restricted activity days", US_national_yearly!$D:$AM, 10, FALSE), 1)</f>
        <v>1.4453329100890138</v>
      </c>
      <c r="U14" s="7">
        <f>$B14 * IFERROR(VLOOKUP("industry|SO2|Minor restricted activity days", US_national_yearly!$D:$AM, 29, FALSE) / VLOOKUP("industry|SO2|Minor restricted activity days", US_national_yearly!$D:$AM, 10, FALSE), 1)</f>
        <v>1.45677370913347</v>
      </c>
      <c r="V14" s="7">
        <f>$B14 * IFERROR(VLOOKUP("industry|SO2|Minor restricted activity days", US_national_yearly!$D:$AM, 30, FALSE) / VLOOKUP("industry|SO2|Minor restricted activity days", US_national_yearly!$D:$AM, 10, FALSE), 1)</f>
        <v>1.4682145081779265</v>
      </c>
      <c r="W14" s="7">
        <f>$B14 * IFERROR(VLOOKUP("industry|SO2|Minor restricted activity days", US_national_yearly!$D:$AM, 31, FALSE) / VLOOKUP("industry|SO2|Minor restricted activity days", US_national_yearly!$D:$AM, 10, FALSE), 1)</f>
        <v>1.4796553072223826</v>
      </c>
      <c r="X14" s="7">
        <f>$B14 * IFERROR(VLOOKUP("industry|SO2|Minor restricted activity days", US_national_yearly!$D:$AM, 32, FALSE) / VLOOKUP("industry|SO2|Minor restricted activity days", US_national_yearly!$D:$AM, 10, FALSE), 1)</f>
        <v>1.4897151115248322</v>
      </c>
      <c r="Y14" s="7">
        <f>$B14 * IFERROR(VLOOKUP("industry|SO2|Minor restricted activity days", US_national_yearly!$D:$AM, 33, FALSE) / VLOOKUP("industry|SO2|Minor restricted activity days", US_national_yearly!$D:$AM, 10, FALSE), 1)</f>
        <v>1.4997749158272813</v>
      </c>
      <c r="Z14" s="7">
        <f>$B14 * IFERROR(VLOOKUP("industry|SO2|Minor restricted activity days", US_national_yearly!$D:$AM, 34, FALSE) / VLOOKUP("industry|SO2|Minor restricted activity days", US_national_yearly!$D:$AM, 10, FALSE), 1)</f>
        <v>1.5098347201297304</v>
      </c>
      <c r="AA14" s="7">
        <f>$B14 * IFERROR(VLOOKUP("industry|SO2|Minor restricted activity days", US_national_yearly!$D:$AM, 35, FALSE) / VLOOKUP("industry|SO2|Minor restricted activity days", US_national_yearly!$D:$AM, 10, FALSE), 1)</f>
        <v>1.5198945244321795</v>
      </c>
      <c r="AB14" s="7">
        <f>$B14 * IFERROR(VLOOKUP("industry|SO2|Minor restricted activity days", US_national_yearly!$D:$AM, 36, FALSE) / VLOOKUP("industry|SO2|Minor restricted activity days", US_national_yearly!$D:$AM, 10, FALSE), 1)</f>
        <v>1.5299543287346291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0.22045455369791883</v>
      </c>
      <c r="C15" s="7">
        <f>$B15 * IFERROR(VLOOKUP("industry|SO2|Work loss days", US_national_yearly!$D:$AM, 11, FALSE) / VLOOKUP("industry|SO2|Work loss days", US_national_yearly!$D:$AM, 10, FALSE), 1)</f>
        <v>0.22116351063634573</v>
      </c>
      <c r="D15" s="7">
        <f>$B15 * IFERROR(VLOOKUP("industry|SO2|Work loss days", US_national_yearly!$D:$AM, 12, FALSE) / VLOOKUP("industry|SO2|Work loss days", US_national_yearly!$D:$AM, 10, FALSE), 1)</f>
        <v>0.22187246757477275</v>
      </c>
      <c r="E15" s="7">
        <f>$B15 * IFERROR(VLOOKUP("industry|SO2|Work loss days", US_national_yearly!$D:$AM, 13, FALSE) / VLOOKUP("industry|SO2|Work loss days", US_national_yearly!$D:$AM, 10, FALSE), 1)</f>
        <v>0.22258142451319968</v>
      </c>
      <c r="F15" s="7">
        <f>$B15 * IFERROR(VLOOKUP("industry|SO2|Work loss days", US_national_yearly!$D:$AM, 14, FALSE) / VLOOKUP("industry|SO2|Work loss days", US_national_yearly!$D:$AM, 10, FALSE), 1)</f>
        <v>0.22329038145162666</v>
      </c>
      <c r="G15" s="7">
        <f>$B15 * IFERROR(VLOOKUP("industry|SO2|Work loss days", US_national_yearly!$D:$AM, 15, FALSE) / VLOOKUP("industry|SO2|Work loss days", US_national_yearly!$D:$AM, 10, FALSE), 1)</f>
        <v>0.22421576184352704</v>
      </c>
      <c r="H15" s="7">
        <f>$B15 * IFERROR(VLOOKUP("industry|SO2|Work loss days", US_national_yearly!$D:$AM, 16, FALSE) / VLOOKUP("industry|SO2|Work loss days", US_national_yearly!$D:$AM, 10, FALSE), 1)</f>
        <v>0.22514114223542744</v>
      </c>
      <c r="I15" s="7">
        <f>$B15 * IFERROR(VLOOKUP("industry|SO2|Work loss days", US_national_yearly!$D:$AM, 17, FALSE) / VLOOKUP("industry|SO2|Work loss days", US_national_yearly!$D:$AM, 10, FALSE), 1)</f>
        <v>0.2264937876092678</v>
      </c>
      <c r="J15" s="7">
        <f>$B15 * IFERROR(VLOOKUP("industry|SO2|Work loss days", US_national_yearly!$D:$AM, 18, FALSE) / VLOOKUP("industry|SO2|Work loss days", US_national_yearly!$D:$AM, 10, FALSE), 1)</f>
        <v>0.22784643298310811</v>
      </c>
      <c r="K15" s="7">
        <f>$B15 * IFERROR(VLOOKUP("industry|SO2|Work loss days", US_national_yearly!$D:$AM, 19, FALSE) / VLOOKUP("industry|SO2|Work loss days", US_national_yearly!$D:$AM, 10, FALSE), 1)</f>
        <v>0.22919907835694839</v>
      </c>
      <c r="L15" s="7">
        <f>$B15 * IFERROR(VLOOKUP("industry|SO2|Work loss days", US_national_yearly!$D:$AM, 20, FALSE) / VLOOKUP("industry|SO2|Work loss days", US_national_yearly!$D:$AM, 10, FALSE), 1)</f>
        <v>0.23055172373078875</v>
      </c>
      <c r="M15" s="7">
        <f>$B15 * IFERROR(VLOOKUP("industry|SO2|Work loss days", US_national_yearly!$D:$AM, 21, FALSE) / VLOOKUP("industry|SO2|Work loss days", US_national_yearly!$D:$AM, 10, FALSE), 1)</f>
        <v>0.23190436910462905</v>
      </c>
      <c r="N15" s="7">
        <f>$B15 * IFERROR(VLOOKUP("industry|SO2|Work loss days", US_national_yearly!$D:$AM, 22, FALSE) / VLOOKUP("industry|SO2|Work loss days", US_national_yearly!$D:$AM, 10, FALSE), 1)</f>
        <v>0.23360444520399712</v>
      </c>
      <c r="O15" s="7">
        <f>$B15 * IFERROR(VLOOKUP("industry|SO2|Work loss days", US_national_yearly!$D:$AM, 23, FALSE) / VLOOKUP("industry|SO2|Work loss days", US_national_yearly!$D:$AM, 10, FALSE), 1)</f>
        <v>0.23530452130336518</v>
      </c>
      <c r="P15" s="7">
        <f>$B15 * IFERROR(VLOOKUP("industry|SO2|Work loss days", US_national_yearly!$D:$AM, 24, FALSE) / VLOOKUP("industry|SO2|Work loss days", US_national_yearly!$D:$AM, 10, FALSE), 1)</f>
        <v>0.23700459740273325</v>
      </c>
      <c r="Q15" s="7">
        <f>$B15 * IFERROR(VLOOKUP("industry|SO2|Work loss days", US_national_yearly!$D:$AM, 25, FALSE) / VLOOKUP("industry|SO2|Work loss days", US_national_yearly!$D:$AM, 10, FALSE), 1)</f>
        <v>0.23870467350210128</v>
      </c>
      <c r="R15" s="7">
        <f>$B15 * IFERROR(VLOOKUP("industry|SO2|Work loss days", US_national_yearly!$D:$AM, 26, FALSE) / VLOOKUP("industry|SO2|Work loss days", US_national_yearly!$D:$AM, 10, FALSE), 1)</f>
        <v>0.24040474960146935</v>
      </c>
      <c r="S15" s="7">
        <f>$B15 * IFERROR(VLOOKUP("industry|SO2|Work loss days", US_national_yearly!$D:$AM, 27, FALSE) / VLOOKUP("industry|SO2|Work loss days", US_national_yearly!$D:$AM, 10, FALSE), 1)</f>
        <v>0.24230706469207275</v>
      </c>
      <c r="T15" s="7">
        <f>$B15 * IFERROR(VLOOKUP("industry|SO2|Work loss days", US_national_yearly!$D:$AM, 28, FALSE) / VLOOKUP("industry|SO2|Work loss days", US_national_yearly!$D:$AM, 10, FALSE), 1)</f>
        <v>0.24420937978267618</v>
      </c>
      <c r="U15" s="7">
        <f>$B15 * IFERROR(VLOOKUP("industry|SO2|Work loss days", US_national_yearly!$D:$AM, 29, FALSE) / VLOOKUP("industry|SO2|Work loss days", US_national_yearly!$D:$AM, 10, FALSE), 1)</f>
        <v>0.24611169487327966</v>
      </c>
      <c r="V15" s="7">
        <f>$B15 * IFERROR(VLOOKUP("industry|SO2|Work loss days", US_national_yearly!$D:$AM, 30, FALSE) / VLOOKUP("industry|SO2|Work loss days", US_national_yearly!$D:$AM, 10, FALSE), 1)</f>
        <v>0.24801400996388306</v>
      </c>
      <c r="W15" s="7">
        <f>$B15 * IFERROR(VLOOKUP("industry|SO2|Work loss days", US_national_yearly!$D:$AM, 31, FALSE) / VLOOKUP("industry|SO2|Work loss days", US_national_yearly!$D:$AM, 10, FALSE), 1)</f>
        <v>0.24991632505448649</v>
      </c>
      <c r="X15" s="7">
        <f>$B15 * IFERROR(VLOOKUP("industry|SO2|Work loss days", US_national_yearly!$D:$AM, 32, FALSE) / VLOOKUP("industry|SO2|Work loss days", US_national_yearly!$D:$AM, 10, FALSE), 1)</f>
        <v>0.25162493290405719</v>
      </c>
      <c r="Y15" s="7">
        <f>$B15 * IFERROR(VLOOKUP("industry|SO2|Work loss days", US_national_yearly!$D:$AM, 33, FALSE) / VLOOKUP("industry|SO2|Work loss days", US_national_yearly!$D:$AM, 10, FALSE), 1)</f>
        <v>0.25333354075362796</v>
      </c>
      <c r="Z15" s="7">
        <f>$B15 * IFERROR(VLOOKUP("industry|SO2|Work loss days", US_national_yearly!$D:$AM, 34, FALSE) / VLOOKUP("industry|SO2|Work loss days", US_national_yearly!$D:$AM, 10, FALSE), 1)</f>
        <v>0.25504214860319857</v>
      </c>
      <c r="AA15" s="7">
        <f>$B15 * IFERROR(VLOOKUP("industry|SO2|Work loss days", US_national_yearly!$D:$AM, 35, FALSE) / VLOOKUP("industry|SO2|Work loss days", US_national_yearly!$D:$AM, 10, FALSE), 1)</f>
        <v>0.25675075645276935</v>
      </c>
      <c r="AB15" s="7">
        <f>$B15 * IFERROR(VLOOKUP("industry|SO2|Work loss days", US_national_yearly!$D:$AM, 36, FALSE) / VLOOKUP("industry|SO2|Work loss days", US_national_yearly!$D:$AM, 10, FALSE), 1)</f>
        <v>0.25845936430234007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1.4361641133371177E-3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1.4795896898606624E-3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1.5230152663842074E-3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1.5664408429077524E-3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1.6098664194312974E-3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1.6514837849509528E-3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1.6931011504706082E-3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1.7288103073821487E-3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1.7645194642936894E-3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1.8002286212052303E-3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1.835937778116771E-3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1.8716469350283115E-3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1.8956382823202165E-3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1.9196296296121215E-3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1.9436209769040261E-3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1.967612324195931E-3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1.991603671487836E-3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2.0042893658294351E-3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2.0169750601710351E-3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2.0296607545126342E-3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2.0423464488542342E-3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2.0550321431958333E-3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2.0636110360217085E-3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2.0721899288475838E-3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2.0807688216734595E-3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2.0893477144993352E-3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2.0979266073252105E-3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2.9022760702458516E-4</v>
      </c>
      <c r="C2" s="7">
        <f>$B2 * IFERROR(VLOOKUP("LULUCF|PM25|Premature mortality", US_national_yearly!$D:$AM, 11, FALSE) / VLOOKUP("LULUCF|PM25|Premature mortality", US_national_yearly!$D:$AM, 10, FALSE), 1)</f>
        <v>2.9382579332191353E-4</v>
      </c>
      <c r="D2" s="7">
        <f>$B2 * IFERROR(VLOOKUP("LULUCF|PM25|Premature mortality", US_national_yearly!$D:$AM, 12, FALSE) / VLOOKUP("LULUCF|PM25|Premature mortality", US_national_yearly!$D:$AM, 10, FALSE), 1)</f>
        <v>2.9742397961924185E-4</v>
      </c>
      <c r="E2" s="7">
        <f>$B2 * IFERROR(VLOOKUP("LULUCF|PM25|Premature mortality", US_national_yearly!$D:$AM, 13, FALSE) / VLOOKUP("LULUCF|PM25|Premature mortality", US_national_yearly!$D:$AM, 10, FALSE), 1)</f>
        <v>3.0102216591657016E-4</v>
      </c>
      <c r="F2" s="7">
        <f>$B2 * IFERROR(VLOOKUP("LULUCF|PM25|Premature mortality", US_national_yearly!$D:$AM, 14, FALSE) / VLOOKUP("LULUCF|PM25|Premature mortality", US_national_yearly!$D:$AM, 10, FALSE), 1)</f>
        <v>3.0462035221389848E-4</v>
      </c>
      <c r="G2" s="7">
        <f>$B2 * IFERROR(VLOOKUP("LULUCF|PM25|Premature mortality", US_national_yearly!$D:$AM, 15, FALSE) / VLOOKUP("LULUCF|PM25|Premature mortality", US_national_yearly!$D:$AM, 10, FALSE), 1)</f>
        <v>3.1162779289106674E-4</v>
      </c>
      <c r="H2" s="7">
        <f>$B2 * IFERROR(VLOOKUP("LULUCF|PM25|Premature mortality", US_national_yearly!$D:$AM, 16, FALSE) / VLOOKUP("LULUCF|PM25|Premature mortality", US_national_yearly!$D:$AM, 10, FALSE), 1)</f>
        <v>3.1863523356823501E-4</v>
      </c>
      <c r="I2" s="7">
        <f>$B2 * IFERROR(VLOOKUP("LULUCF|PM25|Premature mortality", US_national_yearly!$D:$AM, 17, FALSE) / VLOOKUP("LULUCF|PM25|Premature mortality", US_national_yearly!$D:$AM, 10, FALSE), 1)</f>
        <v>3.2323801558416341E-4</v>
      </c>
      <c r="J2" s="7">
        <f>$B2 * IFERROR(VLOOKUP("LULUCF|PM25|Premature mortality", US_national_yearly!$D:$AM, 18, FALSE) / VLOOKUP("LULUCF|PM25|Premature mortality", US_national_yearly!$D:$AM, 10, FALSE), 1)</f>
        <v>3.2784079760009202E-4</v>
      </c>
      <c r="K2" s="7">
        <f>$B2 * IFERROR(VLOOKUP("LULUCF|PM25|Premature mortality", US_national_yearly!$D:$AM, 19, FALSE) / VLOOKUP("LULUCF|PM25|Premature mortality", US_national_yearly!$D:$AM, 10, FALSE), 1)</f>
        <v>3.3244357961602052E-4</v>
      </c>
      <c r="L2" s="7">
        <f>$B2 * IFERROR(VLOOKUP("LULUCF|PM25|Premature mortality", US_national_yearly!$D:$AM, 20, FALSE) / VLOOKUP("LULUCF|PM25|Premature mortality", US_national_yearly!$D:$AM, 10, FALSE), 1)</f>
        <v>3.3704636163194908E-4</v>
      </c>
      <c r="M2" s="7">
        <f>$B2 * IFERROR(VLOOKUP("LULUCF|PM25|Premature mortality", US_national_yearly!$D:$AM, 21, FALSE) / VLOOKUP("LULUCF|PM25|Premature mortality", US_national_yearly!$D:$AM, 10, FALSE), 1)</f>
        <v>3.4164914364787758E-4</v>
      </c>
      <c r="N2" s="7">
        <f>$B2 * IFERROR(VLOOKUP("LULUCF|PM25|Premature mortality", US_national_yearly!$D:$AM, 22, FALSE) / VLOOKUP("LULUCF|PM25|Premature mortality", US_national_yearly!$D:$AM, 10, FALSE), 1)</f>
        <v>3.4522291094360604E-4</v>
      </c>
      <c r="O2" s="7">
        <f>$B2 * IFERROR(VLOOKUP("LULUCF|PM25|Premature mortality", US_national_yearly!$D:$AM, 23, FALSE) / VLOOKUP("LULUCF|PM25|Premature mortality", US_national_yearly!$D:$AM, 10, FALSE), 1)</f>
        <v>3.487966782393345E-4</v>
      </c>
      <c r="P2" s="7">
        <f>$B2 * IFERROR(VLOOKUP("LULUCF|PM25|Premature mortality", US_national_yearly!$D:$AM, 24, FALSE) / VLOOKUP("LULUCF|PM25|Premature mortality", US_national_yearly!$D:$AM, 10, FALSE), 1)</f>
        <v>3.5237044553506301E-4</v>
      </c>
      <c r="Q2" s="7">
        <f>$B2 * IFERROR(VLOOKUP("LULUCF|PM25|Premature mortality", US_national_yearly!$D:$AM, 25, FALSE) / VLOOKUP("LULUCF|PM25|Premature mortality", US_national_yearly!$D:$AM, 10, FALSE), 1)</f>
        <v>3.5594421283079148E-4</v>
      </c>
      <c r="R2" s="7">
        <f>$B2 * IFERROR(VLOOKUP("LULUCF|PM25|Premature mortality", US_national_yearly!$D:$AM, 26, FALSE) / VLOOKUP("LULUCF|PM25|Premature mortality", US_national_yearly!$D:$AM, 10, FALSE), 1)</f>
        <v>3.5951798012651999E-4</v>
      </c>
      <c r="S2" s="7">
        <f>$B2 * IFERROR(VLOOKUP("LULUCF|PM25|Premature mortality", US_national_yearly!$D:$AM, 27, FALSE) / VLOOKUP("LULUCF|PM25|Premature mortality", US_national_yearly!$D:$AM, 10, FALSE), 1)</f>
        <v>3.6141125585963156E-4</v>
      </c>
      <c r="T2" s="7">
        <f>$B2 * IFERROR(VLOOKUP("LULUCF|PM25|Premature mortality", US_national_yearly!$D:$AM, 28, FALSE) / VLOOKUP("LULUCF|PM25|Premature mortality", US_national_yearly!$D:$AM, 10, FALSE), 1)</f>
        <v>3.6330453159274303E-4</v>
      </c>
      <c r="U2" s="7">
        <f>$B2 * IFERROR(VLOOKUP("LULUCF|PM25|Premature mortality", US_national_yearly!$D:$AM, 29, FALSE) / VLOOKUP("LULUCF|PM25|Premature mortality", US_national_yearly!$D:$AM, 10, FALSE), 1)</f>
        <v>3.6519780732585449E-4</v>
      </c>
      <c r="V2" s="7">
        <f>$B2 * IFERROR(VLOOKUP("LULUCF|PM25|Premature mortality", US_national_yearly!$D:$AM, 30, FALSE) / VLOOKUP("LULUCF|PM25|Premature mortality", US_national_yearly!$D:$AM, 10, FALSE), 1)</f>
        <v>3.6709108305896601E-4</v>
      </c>
      <c r="W2" s="7">
        <f>$B2 * IFERROR(VLOOKUP("LULUCF|PM25|Premature mortality", US_national_yearly!$D:$AM, 31, FALSE) / VLOOKUP("LULUCF|PM25|Premature mortality", US_national_yearly!$D:$AM, 10, FALSE), 1)</f>
        <v>3.6898435879207747E-4</v>
      </c>
      <c r="X2" s="7">
        <f>$B2 * IFERROR(VLOOKUP("LULUCF|PM25|Premature mortality", US_national_yearly!$D:$AM, 32, FALSE) / VLOOKUP("LULUCF|PM25|Premature mortality", US_national_yearly!$D:$AM, 10, FALSE), 1)</f>
        <v>3.6931541269951437E-4</v>
      </c>
      <c r="Y2" s="7">
        <f>$B2 * IFERROR(VLOOKUP("LULUCF|PM25|Premature mortality", US_national_yearly!$D:$AM, 33, FALSE) / VLOOKUP("LULUCF|PM25|Premature mortality", US_national_yearly!$D:$AM, 10, FALSE), 1)</f>
        <v>3.6964646660695132E-4</v>
      </c>
      <c r="Z2" s="7">
        <f>$B2 * IFERROR(VLOOKUP("LULUCF|PM25|Premature mortality", US_national_yearly!$D:$AM, 34, FALSE) / VLOOKUP("LULUCF|PM25|Premature mortality", US_national_yearly!$D:$AM, 10, FALSE), 1)</f>
        <v>3.6997752051438822E-4</v>
      </c>
      <c r="AA2" s="7">
        <f>$B2 * IFERROR(VLOOKUP("LULUCF|PM25|Premature mortality", US_national_yearly!$D:$AM, 35, FALSE) / VLOOKUP("LULUCF|PM25|Premature mortality", US_national_yearly!$D:$AM, 10, FALSE), 1)</f>
        <v>3.7030857442182518E-4</v>
      </c>
      <c r="AB2" s="7">
        <f>$B2 * IFERROR(VLOOKUP("LULUCF|PM25|Premature mortality", US_national_yearly!$D:$AM, 36, FALSE) / VLOOKUP("LULUCF|PM25|Premature mortality", US_national_yearly!$D:$AM, 10, FALSE), 1)</f>
        <v>3.7063962832926207E-4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6.6214568090179255E-7</v>
      </c>
      <c r="C3" s="7">
        <f>$B3 * IFERROR(VLOOKUP("LULUCF|PM25|Infant mortality", US_national_yearly!$D:$AM, 11, FALSE) / VLOOKUP("LULUCF|PM25|Infant mortality", US_national_yearly!$D:$AM, 10, FALSE), 1)</f>
        <v>6.5637237477656947E-7</v>
      </c>
      <c r="D3" s="7">
        <f>$B3 * IFERROR(VLOOKUP("LULUCF|PM25|Infant mortality", US_national_yearly!$D:$AM, 12, FALSE) / VLOOKUP("LULUCF|PM25|Infant mortality", US_national_yearly!$D:$AM, 10, FALSE), 1)</f>
        <v>6.5059906865134628E-7</v>
      </c>
      <c r="E3" s="7">
        <f>$B3 * IFERROR(VLOOKUP("LULUCF|PM25|Infant mortality", US_national_yearly!$D:$AM, 13, FALSE) / VLOOKUP("LULUCF|PM25|Infant mortality", US_national_yearly!$D:$AM, 10, FALSE), 1)</f>
        <v>6.448257625261232E-7</v>
      </c>
      <c r="F3" s="7">
        <f>$B3 * IFERROR(VLOOKUP("LULUCF|PM25|Infant mortality", US_national_yearly!$D:$AM, 14, FALSE) / VLOOKUP("LULUCF|PM25|Infant mortality", US_national_yearly!$D:$AM, 10, FALSE), 1)</f>
        <v>6.3905245640090002E-7</v>
      </c>
      <c r="G3" s="7">
        <f>$B3 * IFERROR(VLOOKUP("LULUCF|PM25|Infant mortality", US_national_yearly!$D:$AM, 15, FALSE) / VLOOKUP("LULUCF|PM25|Infant mortality", US_national_yearly!$D:$AM, 10, FALSE), 1)</f>
        <v>4.250040676725316E-7</v>
      </c>
      <c r="H3" s="7">
        <f>$B3 * IFERROR(VLOOKUP("LULUCF|PM25|Infant mortality", US_national_yearly!$D:$AM, 16, FALSE) / VLOOKUP("LULUCF|PM25|Infant mortality", US_national_yearly!$D:$AM, 10, FALSE), 1)</f>
        <v>2.1095567894416314E-7</v>
      </c>
      <c r="I3" s="7">
        <f>$B3 * IFERROR(VLOOKUP("LULUCF|PM25|Infant mortality", US_national_yearly!$D:$AM, 17, FALSE) / VLOOKUP("LULUCF|PM25|Infant mortality", US_national_yearly!$D:$AM, 10, FALSE), 1)</f>
        <v>2.0957673511455778E-7</v>
      </c>
      <c r="J3" s="7">
        <f>$B3 * IFERROR(VLOOKUP("LULUCF|PM25|Infant mortality", US_national_yearly!$D:$AM, 18, FALSE) / VLOOKUP("LULUCF|PM25|Infant mortality", US_national_yearly!$D:$AM, 10, FALSE), 1)</f>
        <v>2.081977912849524E-7</v>
      </c>
      <c r="K3" s="7">
        <f>$B3 * IFERROR(VLOOKUP("LULUCF|PM25|Infant mortality", US_national_yearly!$D:$AM, 19, FALSE) / VLOOKUP("LULUCF|PM25|Infant mortality", US_national_yearly!$D:$AM, 10, FALSE), 1)</f>
        <v>2.0681884745534701E-7</v>
      </c>
      <c r="L3" s="7">
        <f>$B3 * IFERROR(VLOOKUP("LULUCF|PM25|Infant mortality", US_national_yearly!$D:$AM, 20, FALSE) / VLOOKUP("LULUCF|PM25|Infant mortality", US_national_yearly!$D:$AM, 10, FALSE), 1)</f>
        <v>2.0543990362574168E-7</v>
      </c>
      <c r="M3" s="7">
        <f>$B3 * IFERROR(VLOOKUP("LULUCF|PM25|Infant mortality", US_national_yearly!$D:$AM, 21, FALSE) / VLOOKUP("LULUCF|PM25|Infant mortality", US_national_yearly!$D:$AM, 10, FALSE), 1)</f>
        <v>2.0406095979613633E-7</v>
      </c>
      <c r="N3" s="7">
        <f>$B3 * IFERROR(VLOOKUP("LULUCF|PM25|Infant mortality", US_national_yearly!$D:$AM, 22, FALSE) / VLOOKUP("LULUCF|PM25|Infant mortality", US_national_yearly!$D:$AM, 10, FALSE), 1)</f>
        <v>2.0319483040715239E-7</v>
      </c>
      <c r="O3" s="7">
        <f>$B3 * IFERROR(VLOOKUP("LULUCF|PM25|Infant mortality", US_national_yearly!$D:$AM, 23, FALSE) / VLOOKUP("LULUCF|PM25|Infant mortality", US_national_yearly!$D:$AM, 10, FALSE), 1)</f>
        <v>2.0232870101816845E-7</v>
      </c>
      <c r="P3" s="7">
        <f>$B3 * IFERROR(VLOOKUP("LULUCF|PM25|Infant mortality", US_national_yearly!$D:$AM, 24, FALSE) / VLOOKUP("LULUCF|PM25|Infant mortality", US_national_yearly!$D:$AM, 10, FALSE), 1)</f>
        <v>2.0146257162918445E-7</v>
      </c>
      <c r="Q3" s="7">
        <f>$B3 * IFERROR(VLOOKUP("LULUCF|PM25|Infant mortality", US_national_yearly!$D:$AM, 25, FALSE) / VLOOKUP("LULUCF|PM25|Infant mortality", US_national_yearly!$D:$AM, 10, FALSE), 1)</f>
        <v>2.0059644224020054E-7</v>
      </c>
      <c r="R3" s="7">
        <f>$B3 * IFERROR(VLOOKUP("LULUCF|PM25|Infant mortality", US_national_yearly!$D:$AM, 26, FALSE) / VLOOKUP("LULUCF|PM25|Infant mortality", US_national_yearly!$D:$AM, 10, FALSE), 1)</f>
        <v>1.9973031285121657E-7</v>
      </c>
      <c r="S3" s="7">
        <f>$B3 * IFERROR(VLOOKUP("LULUCF|PM25|Infant mortality", US_national_yearly!$D:$AM, 27, FALSE) / VLOOKUP("LULUCF|PM25|Infant mortality", US_national_yearly!$D:$AM, 10, FALSE), 1)</f>
        <v>1.9865066485844809E-7</v>
      </c>
      <c r="T3" s="7">
        <f>$B3 * IFERROR(VLOOKUP("LULUCF|PM25|Infant mortality", US_national_yearly!$D:$AM, 28, FALSE) / VLOOKUP("LULUCF|PM25|Infant mortality", US_national_yearly!$D:$AM, 10, FALSE), 1)</f>
        <v>1.9757101686567958E-7</v>
      </c>
      <c r="U3" s="7">
        <f>$B3 * IFERROR(VLOOKUP("LULUCF|PM25|Infant mortality", US_national_yearly!$D:$AM, 29, FALSE) / VLOOKUP("LULUCF|PM25|Infant mortality", US_national_yearly!$D:$AM, 10, FALSE), 1)</f>
        <v>1.9649136887291112E-7</v>
      </c>
      <c r="V3" s="7">
        <f>$B3 * IFERROR(VLOOKUP("LULUCF|PM25|Infant mortality", US_national_yearly!$D:$AM, 30, FALSE) / VLOOKUP("LULUCF|PM25|Infant mortality", US_national_yearly!$D:$AM, 10, FALSE), 1)</f>
        <v>1.9541172088014264E-7</v>
      </c>
      <c r="W3" s="7">
        <f>$B3 * IFERROR(VLOOKUP("LULUCF|PM25|Infant mortality", US_national_yearly!$D:$AM, 31, FALSE) / VLOOKUP("LULUCF|PM25|Infant mortality", US_national_yearly!$D:$AM, 10, FALSE), 1)</f>
        <v>1.9433207288737413E-7</v>
      </c>
      <c r="X3" s="7">
        <f>$B3 * IFERROR(VLOOKUP("LULUCF|PM25|Infant mortality", US_national_yearly!$D:$AM, 32, FALSE) / VLOOKUP("LULUCF|PM25|Infant mortality", US_national_yearly!$D:$AM, 10, FALSE), 1)</f>
        <v>1.9316807665365332E-7</v>
      </c>
      <c r="Y3" s="7">
        <f>$B3 * IFERROR(VLOOKUP("LULUCF|PM25|Infant mortality", US_national_yearly!$D:$AM, 33, FALSE) / VLOOKUP("LULUCF|PM25|Infant mortality", US_national_yearly!$D:$AM, 10, FALSE), 1)</f>
        <v>1.9200408041993244E-7</v>
      </c>
      <c r="Z3" s="7">
        <f>$B3 * IFERROR(VLOOKUP("LULUCF|PM25|Infant mortality", US_national_yearly!$D:$AM, 34, FALSE) / VLOOKUP("LULUCF|PM25|Infant mortality", US_national_yearly!$D:$AM, 10, FALSE), 1)</f>
        <v>1.9084008418621164E-7</v>
      </c>
      <c r="AA3" s="7">
        <f>$B3 * IFERROR(VLOOKUP("LULUCF|PM25|Infant mortality", US_national_yearly!$D:$AM, 35, FALSE) / VLOOKUP("LULUCF|PM25|Infant mortality", US_national_yearly!$D:$AM, 10, FALSE), 1)</f>
        <v>1.8967608795249081E-7</v>
      </c>
      <c r="AB3" s="7">
        <f>$B3 * IFERROR(VLOOKUP("LULUCF|PM25|Infant mortality", US_national_yearly!$D:$AM, 36, FALSE) / VLOOKUP("LULUCF|PM25|Infant mortality", US_national_yearly!$D:$AM, 10, FALSE), 1)</f>
        <v>1.8851209171877E-7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5.9972080896858633E-4</v>
      </c>
      <c r="C6" s="7">
        <f>$B6 * IFERROR(VLOOKUP("LULUCF|PM25|Asthma symptoms cough", US_national_yearly!$D:$AM, 11, FALSE) / VLOOKUP("LULUCF|PM25|Asthma symptoms cough", US_national_yearly!$D:$AM, 10, FALSE), 1)</f>
        <v>5.9972080896858633E-4</v>
      </c>
      <c r="D6" s="7">
        <f>$B6 * IFERROR(VLOOKUP("LULUCF|PM25|Asthma symptoms cough", US_national_yearly!$D:$AM, 12, FALSE) / VLOOKUP("LULUCF|PM25|Asthma symptoms cough", US_national_yearly!$D:$AM, 10, FALSE), 1)</f>
        <v>5.9972080896858633E-4</v>
      </c>
      <c r="E6" s="7">
        <f>$B6 * IFERROR(VLOOKUP("LULUCF|PM25|Asthma symptoms cough", US_national_yearly!$D:$AM, 13, FALSE) / VLOOKUP("LULUCF|PM25|Asthma symptoms cough", US_national_yearly!$D:$AM, 10, FALSE), 1)</f>
        <v>5.9972080896858633E-4</v>
      </c>
      <c r="F6" s="7">
        <f>$B6 * IFERROR(VLOOKUP("LULUCF|PM25|Asthma symptoms cough", US_national_yearly!$D:$AM, 14, FALSE) / VLOOKUP("LULUCF|PM25|Asthma symptoms cough", US_national_yearly!$D:$AM, 10, FALSE), 1)</f>
        <v>5.9972080896858633E-4</v>
      </c>
      <c r="G6" s="7">
        <f>$B6 * IFERROR(VLOOKUP("LULUCF|PM25|Asthma symptoms cough", US_national_yearly!$D:$AM, 15, FALSE) / VLOOKUP("LULUCF|PM25|Asthma symptoms cough", US_national_yearly!$D:$AM, 10, FALSE), 1)</f>
        <v>5.9972080896858633E-4</v>
      </c>
      <c r="H6" s="7">
        <f>$B6 * IFERROR(VLOOKUP("LULUCF|PM25|Asthma symptoms cough", US_national_yearly!$D:$AM, 16, FALSE) / VLOOKUP("LULUCF|PM25|Asthma symptoms cough", US_national_yearly!$D:$AM, 10, FALSE), 1)</f>
        <v>5.9972080896858633E-4</v>
      </c>
      <c r="I6" s="7">
        <f>$B6 * IFERROR(VLOOKUP("LULUCF|PM25|Asthma symptoms cough", US_national_yearly!$D:$AM, 17, FALSE) / VLOOKUP("LULUCF|PM25|Asthma symptoms cough", US_national_yearly!$D:$AM, 10, FALSE), 1)</f>
        <v>5.9972080896858633E-4</v>
      </c>
      <c r="J6" s="7">
        <f>$B6 * IFERROR(VLOOKUP("LULUCF|PM25|Asthma symptoms cough", US_national_yearly!$D:$AM, 18, FALSE) / VLOOKUP("LULUCF|PM25|Asthma symptoms cough", US_national_yearly!$D:$AM, 10, FALSE), 1)</f>
        <v>5.9972080896858633E-4</v>
      </c>
      <c r="K6" s="7">
        <f>$B6 * IFERROR(VLOOKUP("LULUCF|PM25|Asthma symptoms cough", US_national_yearly!$D:$AM, 19, FALSE) / VLOOKUP("LULUCF|PM25|Asthma symptoms cough", US_national_yearly!$D:$AM, 10, FALSE), 1)</f>
        <v>5.9972080896858633E-4</v>
      </c>
      <c r="L6" s="7">
        <f>$B6 * IFERROR(VLOOKUP("LULUCF|PM25|Asthma symptoms cough", US_national_yearly!$D:$AM, 20, FALSE) / VLOOKUP("LULUCF|PM25|Asthma symptoms cough", US_national_yearly!$D:$AM, 10, FALSE), 1)</f>
        <v>5.9972080896858633E-4</v>
      </c>
      <c r="M6" s="7">
        <f>$B6 * IFERROR(VLOOKUP("LULUCF|PM25|Asthma symptoms cough", US_national_yearly!$D:$AM, 21, FALSE) / VLOOKUP("LULUCF|PM25|Asthma symptoms cough", US_national_yearly!$D:$AM, 10, FALSE), 1)</f>
        <v>5.9972080896858633E-4</v>
      </c>
      <c r="N6" s="7">
        <f>$B6 * IFERROR(VLOOKUP("LULUCF|PM25|Asthma symptoms cough", US_national_yearly!$D:$AM, 22, FALSE) / VLOOKUP("LULUCF|PM25|Asthma symptoms cough", US_national_yearly!$D:$AM, 10, FALSE), 1)</f>
        <v>5.9972080896858633E-4</v>
      </c>
      <c r="O6" s="7">
        <f>$B6 * IFERROR(VLOOKUP("LULUCF|PM25|Asthma symptoms cough", US_national_yearly!$D:$AM, 23, FALSE) / VLOOKUP("LULUCF|PM25|Asthma symptoms cough", US_national_yearly!$D:$AM, 10, FALSE), 1)</f>
        <v>5.9972080896858633E-4</v>
      </c>
      <c r="P6" s="7">
        <f>$B6 * IFERROR(VLOOKUP("LULUCF|PM25|Asthma symptoms cough", US_national_yearly!$D:$AM, 24, FALSE) / VLOOKUP("LULUCF|PM25|Asthma symptoms cough", US_national_yearly!$D:$AM, 10, FALSE), 1)</f>
        <v>5.9972080896858633E-4</v>
      </c>
      <c r="Q6" s="7">
        <f>$B6 * IFERROR(VLOOKUP("LULUCF|PM25|Asthma symptoms cough", US_national_yearly!$D:$AM, 25, FALSE) / VLOOKUP("LULUCF|PM25|Asthma symptoms cough", US_national_yearly!$D:$AM, 10, FALSE), 1)</f>
        <v>5.9972080896858633E-4</v>
      </c>
      <c r="R6" s="7">
        <f>$B6 * IFERROR(VLOOKUP("LULUCF|PM25|Asthma symptoms cough", US_national_yearly!$D:$AM, 26, FALSE) / VLOOKUP("LULUCF|PM25|Asthma symptoms cough", US_national_yearly!$D:$AM, 10, FALSE), 1)</f>
        <v>5.9972080896858633E-4</v>
      </c>
      <c r="S6" s="7">
        <f>$B6 * IFERROR(VLOOKUP("LULUCF|PM25|Asthma symptoms cough", US_national_yearly!$D:$AM, 27, FALSE) / VLOOKUP("LULUCF|PM25|Asthma symptoms cough", US_national_yearly!$D:$AM, 10, FALSE), 1)</f>
        <v>5.9972080896858633E-4</v>
      </c>
      <c r="T6" s="7">
        <f>$B6 * IFERROR(VLOOKUP("LULUCF|PM25|Asthma symptoms cough", US_national_yearly!$D:$AM, 28, FALSE) / VLOOKUP("LULUCF|PM25|Asthma symptoms cough", US_national_yearly!$D:$AM, 10, FALSE), 1)</f>
        <v>5.9972080896858633E-4</v>
      </c>
      <c r="U6" s="7">
        <f>$B6 * IFERROR(VLOOKUP("LULUCF|PM25|Asthma symptoms cough", US_national_yearly!$D:$AM, 29, FALSE) / VLOOKUP("LULUCF|PM25|Asthma symptoms cough", US_national_yearly!$D:$AM, 10, FALSE), 1)</f>
        <v>5.9972080896858633E-4</v>
      </c>
      <c r="V6" s="7">
        <f>$B6 * IFERROR(VLOOKUP("LULUCF|PM25|Asthma symptoms cough", US_national_yearly!$D:$AM, 30, FALSE) / VLOOKUP("LULUCF|PM25|Asthma symptoms cough", US_national_yearly!$D:$AM, 10, FALSE), 1)</f>
        <v>5.9972080896858633E-4</v>
      </c>
      <c r="W6" s="7">
        <f>$B6 * IFERROR(VLOOKUP("LULUCF|PM25|Asthma symptoms cough", US_national_yearly!$D:$AM, 31, FALSE) / VLOOKUP("LULUCF|PM25|Asthma symptoms cough", US_national_yearly!$D:$AM, 10, FALSE), 1)</f>
        <v>5.9972080896858633E-4</v>
      </c>
      <c r="X6" s="7">
        <f>$B6 * IFERROR(VLOOKUP("LULUCF|PM25|Asthma symptoms cough", US_national_yearly!$D:$AM, 32, FALSE) / VLOOKUP("LULUCF|PM25|Asthma symptoms cough", US_national_yearly!$D:$AM, 10, FALSE), 1)</f>
        <v>5.9972080896858633E-4</v>
      </c>
      <c r="Y6" s="7">
        <f>$B6 * IFERROR(VLOOKUP("LULUCF|PM25|Asthma symptoms cough", US_national_yearly!$D:$AM, 33, FALSE) / VLOOKUP("LULUCF|PM25|Asthma symptoms cough", US_national_yearly!$D:$AM, 10, FALSE), 1)</f>
        <v>5.9972080896858633E-4</v>
      </c>
      <c r="Z6" s="7">
        <f>$B6 * IFERROR(VLOOKUP("LULUCF|PM25|Asthma symptoms cough", US_national_yearly!$D:$AM, 34, FALSE) / VLOOKUP("LULUCF|PM25|Asthma symptoms cough", US_national_yearly!$D:$AM, 10, FALSE), 1)</f>
        <v>5.9972080896858633E-4</v>
      </c>
      <c r="AA6" s="7">
        <f>$B6 * IFERROR(VLOOKUP("LULUCF|PM25|Asthma symptoms cough", US_national_yearly!$D:$AM, 35, FALSE) / VLOOKUP("LULUCF|PM25|Asthma symptoms cough", US_national_yearly!$D:$AM, 10, FALSE), 1)</f>
        <v>5.9972080896858633E-4</v>
      </c>
      <c r="AB6" s="7">
        <f>$B6 * IFERROR(VLOOKUP("LULUCF|PM25|Asthma symptoms cough", US_national_yearly!$D:$AM, 36, FALSE) / VLOOKUP("LULUCF|PM25|Asthma symptoms cough", US_national_yearly!$D:$AM, 10, FALSE), 1)</f>
        <v>5.9972080896858633E-4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8.0760809326728259E-4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8.0760809326728259E-4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8.0760809326728259E-4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8.0760809326728259E-4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8.0760809326728259E-4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8.0760809326728259E-4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8.0760809326728259E-4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8.0760809326728259E-4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8.0760809326728259E-4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8.0760809326728259E-4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8.0760809326728259E-4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8.0760809326728259E-4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8.0760809326728259E-4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8.0760809326728259E-4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8.0760809326728259E-4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8.0760809326728259E-4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8.0760809326728259E-4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8.0760809326728259E-4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8.0760809326728259E-4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8.0760809326728259E-4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8.0760809326728259E-4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8.0760809326728259E-4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8.0760809326728259E-4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8.0760809326728259E-4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8.0760809326728259E-4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8.0760809326728259E-4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8.0760809326728259E-4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1.2338989895327129E-3</v>
      </c>
      <c r="C8" s="7">
        <f>$B8 * IFERROR(VLOOKUP("LULUCF|PM25|Asthma symptoms wheeze", US_national_yearly!$D:$AM, 11, FALSE) / VLOOKUP("LULUCF|PM25|Asthma symptoms wheeze", US_national_yearly!$D:$AM, 10, FALSE), 1)</f>
        <v>1.2338989895327129E-3</v>
      </c>
      <c r="D8" s="7">
        <f>$B8 * IFERROR(VLOOKUP("LULUCF|PM25|Asthma symptoms wheeze", US_national_yearly!$D:$AM, 12, FALSE) / VLOOKUP("LULUCF|PM25|Asthma symptoms wheeze", US_national_yearly!$D:$AM, 10, FALSE), 1)</f>
        <v>1.2338989895327129E-3</v>
      </c>
      <c r="E8" s="7">
        <f>$B8 * IFERROR(VLOOKUP("LULUCF|PM25|Asthma symptoms wheeze", US_national_yearly!$D:$AM, 13, FALSE) / VLOOKUP("LULUCF|PM25|Asthma symptoms wheeze", US_national_yearly!$D:$AM, 10, FALSE), 1)</f>
        <v>1.2338989895327129E-3</v>
      </c>
      <c r="F8" s="7">
        <f>$B8 * IFERROR(VLOOKUP("LULUCF|PM25|Asthma symptoms wheeze", US_national_yearly!$D:$AM, 14, FALSE) / VLOOKUP("LULUCF|PM25|Asthma symptoms wheeze", US_national_yearly!$D:$AM, 10, FALSE), 1)</f>
        <v>1.2338989895327129E-3</v>
      </c>
      <c r="G8" s="7">
        <f>$B8 * IFERROR(VLOOKUP("LULUCF|PM25|Asthma symptoms wheeze", US_national_yearly!$D:$AM, 15, FALSE) / VLOOKUP("LULUCF|PM25|Asthma symptoms wheeze", US_national_yearly!$D:$AM, 10, FALSE), 1)</f>
        <v>1.2338989895327129E-3</v>
      </c>
      <c r="H8" s="7">
        <f>$B8 * IFERROR(VLOOKUP("LULUCF|PM25|Asthma symptoms wheeze", US_national_yearly!$D:$AM, 16, FALSE) / VLOOKUP("LULUCF|PM25|Asthma symptoms wheeze", US_national_yearly!$D:$AM, 10, FALSE), 1)</f>
        <v>1.2338989895327129E-3</v>
      </c>
      <c r="I8" s="7">
        <f>$B8 * IFERROR(VLOOKUP("LULUCF|PM25|Asthma symptoms wheeze", US_national_yearly!$D:$AM, 17, FALSE) / VLOOKUP("LULUCF|PM25|Asthma symptoms wheeze", US_national_yearly!$D:$AM, 10, FALSE), 1)</f>
        <v>1.2338989895327129E-3</v>
      </c>
      <c r="J8" s="7">
        <f>$B8 * IFERROR(VLOOKUP("LULUCF|PM25|Asthma symptoms wheeze", US_national_yearly!$D:$AM, 18, FALSE) / VLOOKUP("LULUCF|PM25|Asthma symptoms wheeze", US_national_yearly!$D:$AM, 10, FALSE), 1)</f>
        <v>1.2338989895327129E-3</v>
      </c>
      <c r="K8" s="7">
        <f>$B8 * IFERROR(VLOOKUP("LULUCF|PM25|Asthma symptoms wheeze", US_national_yearly!$D:$AM, 19, FALSE) / VLOOKUP("LULUCF|PM25|Asthma symptoms wheeze", US_national_yearly!$D:$AM, 10, FALSE), 1)</f>
        <v>1.2338989895327129E-3</v>
      </c>
      <c r="L8" s="7">
        <f>$B8 * IFERROR(VLOOKUP("LULUCF|PM25|Asthma symptoms wheeze", US_national_yearly!$D:$AM, 20, FALSE) / VLOOKUP("LULUCF|PM25|Asthma symptoms wheeze", US_national_yearly!$D:$AM, 10, FALSE), 1)</f>
        <v>1.2338989895327129E-3</v>
      </c>
      <c r="M8" s="7">
        <f>$B8 * IFERROR(VLOOKUP("LULUCF|PM25|Asthma symptoms wheeze", US_national_yearly!$D:$AM, 21, FALSE) / VLOOKUP("LULUCF|PM25|Asthma symptoms wheeze", US_national_yearly!$D:$AM, 10, FALSE), 1)</f>
        <v>1.2338989895327129E-3</v>
      </c>
      <c r="N8" s="7">
        <f>$B8 * IFERROR(VLOOKUP("LULUCF|PM25|Asthma symptoms wheeze", US_national_yearly!$D:$AM, 22, FALSE) / VLOOKUP("LULUCF|PM25|Asthma symptoms wheeze", US_national_yearly!$D:$AM, 10, FALSE), 1)</f>
        <v>1.2338989895327129E-3</v>
      </c>
      <c r="O8" s="7">
        <f>$B8 * IFERROR(VLOOKUP("LULUCF|PM25|Asthma symptoms wheeze", US_national_yearly!$D:$AM, 23, FALSE) / VLOOKUP("LULUCF|PM25|Asthma symptoms wheeze", US_national_yearly!$D:$AM, 10, FALSE), 1)</f>
        <v>1.2338989895327129E-3</v>
      </c>
      <c r="P8" s="7">
        <f>$B8 * IFERROR(VLOOKUP("LULUCF|PM25|Asthma symptoms wheeze", US_national_yearly!$D:$AM, 24, FALSE) / VLOOKUP("LULUCF|PM25|Asthma symptoms wheeze", US_national_yearly!$D:$AM, 10, FALSE), 1)</f>
        <v>1.2338989895327129E-3</v>
      </c>
      <c r="Q8" s="7">
        <f>$B8 * IFERROR(VLOOKUP("LULUCF|PM25|Asthma symptoms wheeze", US_national_yearly!$D:$AM, 25, FALSE) / VLOOKUP("LULUCF|PM25|Asthma symptoms wheeze", US_national_yearly!$D:$AM, 10, FALSE), 1)</f>
        <v>1.2338989895327129E-3</v>
      </c>
      <c r="R8" s="7">
        <f>$B8 * IFERROR(VLOOKUP("LULUCF|PM25|Asthma symptoms wheeze", US_national_yearly!$D:$AM, 26, FALSE) / VLOOKUP("LULUCF|PM25|Asthma symptoms wheeze", US_national_yearly!$D:$AM, 10, FALSE), 1)</f>
        <v>1.2338989895327129E-3</v>
      </c>
      <c r="S8" s="7">
        <f>$B8 * IFERROR(VLOOKUP("LULUCF|PM25|Asthma symptoms wheeze", US_national_yearly!$D:$AM, 27, FALSE) / VLOOKUP("LULUCF|PM25|Asthma symptoms wheeze", US_national_yearly!$D:$AM, 10, FALSE), 1)</f>
        <v>1.2338989895327129E-3</v>
      </c>
      <c r="T8" s="7">
        <f>$B8 * IFERROR(VLOOKUP("LULUCF|PM25|Asthma symptoms wheeze", US_national_yearly!$D:$AM, 28, FALSE) / VLOOKUP("LULUCF|PM25|Asthma symptoms wheeze", US_national_yearly!$D:$AM, 10, FALSE), 1)</f>
        <v>1.2338989895327129E-3</v>
      </c>
      <c r="U8" s="7">
        <f>$B8 * IFERROR(VLOOKUP("LULUCF|PM25|Asthma symptoms wheeze", US_national_yearly!$D:$AM, 29, FALSE) / VLOOKUP("LULUCF|PM25|Asthma symptoms wheeze", US_national_yearly!$D:$AM, 10, FALSE), 1)</f>
        <v>1.2338989895327129E-3</v>
      </c>
      <c r="V8" s="7">
        <f>$B8 * IFERROR(VLOOKUP("LULUCF|PM25|Asthma symptoms wheeze", US_national_yearly!$D:$AM, 30, FALSE) / VLOOKUP("LULUCF|PM25|Asthma symptoms wheeze", US_national_yearly!$D:$AM, 10, FALSE), 1)</f>
        <v>1.2338989895327129E-3</v>
      </c>
      <c r="W8" s="7">
        <f>$B8 * IFERROR(VLOOKUP("LULUCF|PM25|Asthma symptoms wheeze", US_national_yearly!$D:$AM, 31, FALSE) / VLOOKUP("LULUCF|PM25|Asthma symptoms wheeze", US_national_yearly!$D:$AM, 10, FALSE), 1)</f>
        <v>1.2338989895327129E-3</v>
      </c>
      <c r="X8" s="7">
        <f>$B8 * IFERROR(VLOOKUP("LULUCF|PM25|Asthma symptoms wheeze", US_national_yearly!$D:$AM, 32, FALSE) / VLOOKUP("LULUCF|PM25|Asthma symptoms wheeze", US_national_yearly!$D:$AM, 10, FALSE), 1)</f>
        <v>1.2338989895327129E-3</v>
      </c>
      <c r="Y8" s="7">
        <f>$B8 * IFERROR(VLOOKUP("LULUCF|PM25|Asthma symptoms wheeze", US_national_yearly!$D:$AM, 33, FALSE) / VLOOKUP("LULUCF|PM25|Asthma symptoms wheeze", US_national_yearly!$D:$AM, 10, FALSE), 1)</f>
        <v>1.2338989895327129E-3</v>
      </c>
      <c r="Z8" s="7">
        <f>$B8 * IFERROR(VLOOKUP("LULUCF|PM25|Asthma symptoms wheeze", US_national_yearly!$D:$AM, 34, FALSE) / VLOOKUP("LULUCF|PM25|Asthma symptoms wheeze", US_national_yearly!$D:$AM, 10, FALSE), 1)</f>
        <v>1.2338989895327129E-3</v>
      </c>
      <c r="AA8" s="7">
        <f>$B8 * IFERROR(VLOOKUP("LULUCF|PM25|Asthma symptoms wheeze", US_national_yearly!$D:$AM, 35, FALSE) / VLOOKUP("LULUCF|PM25|Asthma symptoms wheeze", US_national_yearly!$D:$AM, 10, FALSE), 1)</f>
        <v>1.2338989895327129E-3</v>
      </c>
      <c r="AB8" s="7">
        <f>$B8 * IFERROR(VLOOKUP("LULUCF|PM25|Asthma symptoms wheeze", US_national_yearly!$D:$AM, 36, FALSE) / VLOOKUP("LULUCF|PM25|Asthma symptoms wheeze", US_national_yearly!$D:$AM, 10, FALSE), 1)</f>
        <v>1.2338989895327129E-3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5.9037705597024294E-5</v>
      </c>
      <c r="C12" s="7">
        <f>$B12 * IFERROR(VLOOKUP("LULUCF|PM25|Respiratory hospital admissions", US_national_yearly!$D:$AM, 11, FALSE) / VLOOKUP("LULUCF|PM25|Respiratory hospital admissions", US_national_yearly!$D:$AM, 10, FALSE), 1)</f>
        <v>5.9376085929948739E-5</v>
      </c>
      <c r="D12" s="7">
        <f>$B12 * IFERROR(VLOOKUP("LULUCF|PM25|Respiratory hospital admissions", US_national_yearly!$D:$AM, 12, FALSE) / VLOOKUP("LULUCF|PM25|Respiratory hospital admissions", US_national_yearly!$D:$AM, 10, FALSE), 1)</f>
        <v>5.9714466262873178E-5</v>
      </c>
      <c r="E12" s="7">
        <f>$B12 * IFERROR(VLOOKUP("LULUCF|PM25|Respiratory hospital admissions", US_national_yearly!$D:$AM, 13, FALSE) / VLOOKUP("LULUCF|PM25|Respiratory hospital admissions", US_national_yearly!$D:$AM, 10, FALSE), 1)</f>
        <v>6.0052846595797623E-5</v>
      </c>
      <c r="F12" s="7">
        <f>$B12 * IFERROR(VLOOKUP("LULUCF|PM25|Respiratory hospital admissions", US_national_yearly!$D:$AM, 14, FALSE) / VLOOKUP("LULUCF|PM25|Respiratory hospital admissions", US_national_yearly!$D:$AM, 10, FALSE), 1)</f>
        <v>6.0391226928722062E-5</v>
      </c>
      <c r="G12" s="7">
        <f>$B12 * IFERROR(VLOOKUP("LULUCF|PM25|Respiratory hospital admissions", US_national_yearly!$D:$AM, 15, FALSE) / VLOOKUP("LULUCF|PM25|Respiratory hospital admissions", US_national_yearly!$D:$AM, 10, FALSE), 1)</f>
        <v>6.0756692121986844E-5</v>
      </c>
      <c r="H12" s="7">
        <f>$B12 * IFERROR(VLOOKUP("LULUCF|PM25|Respiratory hospital admissions", US_national_yearly!$D:$AM, 16, FALSE) / VLOOKUP("LULUCF|PM25|Respiratory hospital admissions", US_national_yearly!$D:$AM, 10, FALSE), 1)</f>
        <v>6.1122157315251621E-5</v>
      </c>
      <c r="I12" s="7">
        <f>$B12 * IFERROR(VLOOKUP("LULUCF|PM25|Respiratory hospital admissions", US_national_yearly!$D:$AM, 17, FALSE) / VLOOKUP("LULUCF|PM25|Respiratory hospital admissions", US_national_yearly!$D:$AM, 10, FALSE), 1)</f>
        <v>6.1471345422109923E-5</v>
      </c>
      <c r="J12" s="7">
        <f>$B12 * IFERROR(VLOOKUP("LULUCF|PM25|Respiratory hospital admissions", US_national_yearly!$D:$AM, 18, FALSE) / VLOOKUP("LULUCF|PM25|Respiratory hospital admissions", US_national_yearly!$D:$AM, 10, FALSE), 1)</f>
        <v>6.1820533528968253E-5</v>
      </c>
      <c r="K12" s="7">
        <f>$B12 * IFERROR(VLOOKUP("LULUCF|PM25|Respiratory hospital admissions", US_national_yearly!$D:$AM, 19, FALSE) / VLOOKUP("LULUCF|PM25|Respiratory hospital admissions", US_national_yearly!$D:$AM, 10, FALSE), 1)</f>
        <v>6.2169721635826569E-5</v>
      </c>
      <c r="L12" s="7">
        <f>$B12 * IFERROR(VLOOKUP("LULUCF|PM25|Respiratory hospital admissions", US_national_yearly!$D:$AM, 20, FALSE) / VLOOKUP("LULUCF|PM25|Respiratory hospital admissions", US_national_yearly!$D:$AM, 10, FALSE), 1)</f>
        <v>6.2518909742684885E-5</v>
      </c>
      <c r="M12" s="7">
        <f>$B12 * IFERROR(VLOOKUP("LULUCF|PM25|Respiratory hospital admissions", US_national_yearly!$D:$AM, 21, FALSE) / VLOOKUP("LULUCF|PM25|Respiratory hospital admissions", US_national_yearly!$D:$AM, 10, FALSE), 1)</f>
        <v>6.2868097849543187E-5</v>
      </c>
      <c r="N12" s="7">
        <f>$B12 * IFERROR(VLOOKUP("LULUCF|PM25|Respiratory hospital admissions", US_national_yearly!$D:$AM, 22, FALSE) / VLOOKUP("LULUCF|PM25|Respiratory hospital admissions", US_national_yearly!$D:$AM, 10, FALSE), 1)</f>
        <v>6.3118720343783037E-5</v>
      </c>
      <c r="O12" s="7">
        <f>$B12 * IFERROR(VLOOKUP("LULUCF|PM25|Respiratory hospital admissions", US_national_yearly!$D:$AM, 23, FALSE) / VLOOKUP("LULUCF|PM25|Respiratory hospital admissions", US_national_yearly!$D:$AM, 10, FALSE), 1)</f>
        <v>6.3369342838022859E-5</v>
      </c>
      <c r="P12" s="7">
        <f>$B12 * IFERROR(VLOOKUP("LULUCF|PM25|Respiratory hospital admissions", US_national_yearly!$D:$AM, 24, FALSE) / VLOOKUP("LULUCF|PM25|Respiratory hospital admissions", US_national_yearly!$D:$AM, 10, FALSE), 1)</f>
        <v>6.3619965332262682E-5</v>
      </c>
      <c r="Q12" s="7">
        <f>$B12 * IFERROR(VLOOKUP("LULUCF|PM25|Respiratory hospital admissions", US_national_yearly!$D:$AM, 25, FALSE) / VLOOKUP("LULUCF|PM25|Respiratory hospital admissions", US_national_yearly!$D:$AM, 10, FALSE), 1)</f>
        <v>6.3870587826502518E-5</v>
      </c>
      <c r="R12" s="7">
        <f>$B12 * IFERROR(VLOOKUP("LULUCF|PM25|Respiratory hospital admissions", US_national_yearly!$D:$AM, 26, FALSE) / VLOOKUP("LULUCF|PM25|Respiratory hospital admissions", US_national_yearly!$D:$AM, 10, FALSE), 1)</f>
        <v>6.4121210320742354E-5</v>
      </c>
      <c r="S12" s="7">
        <f>$B12 * IFERROR(VLOOKUP("LULUCF|PM25|Respiratory hospital admissions", US_national_yearly!$D:$AM, 27, FALSE) / VLOOKUP("LULUCF|PM25|Respiratory hospital admissions", US_national_yearly!$D:$AM, 10, FALSE), 1)</f>
        <v>6.4359835959250944E-5</v>
      </c>
      <c r="T12" s="7">
        <f>$B12 * IFERROR(VLOOKUP("LULUCF|PM25|Respiratory hospital admissions", US_national_yearly!$D:$AM, 28, FALSE) / VLOOKUP("LULUCF|PM25|Respiratory hospital admissions", US_national_yearly!$D:$AM, 10, FALSE), 1)</f>
        <v>6.4598461597759548E-5</v>
      </c>
      <c r="U12" s="7">
        <f>$B12 * IFERROR(VLOOKUP("LULUCF|PM25|Respiratory hospital admissions", US_national_yearly!$D:$AM, 29, FALSE) / VLOOKUP("LULUCF|PM25|Respiratory hospital admissions", US_national_yearly!$D:$AM, 10, FALSE), 1)</f>
        <v>6.4837087236268125E-5</v>
      </c>
      <c r="V12" s="7">
        <f>$B12 * IFERROR(VLOOKUP("LULUCF|PM25|Respiratory hospital admissions", US_national_yearly!$D:$AM, 30, FALSE) / VLOOKUP("LULUCF|PM25|Respiratory hospital admissions", US_national_yearly!$D:$AM, 10, FALSE), 1)</f>
        <v>6.5075712874776716E-5</v>
      </c>
      <c r="W12" s="7">
        <f>$B12 * IFERROR(VLOOKUP("LULUCF|PM25|Respiratory hospital admissions", US_national_yearly!$D:$AM, 31, FALSE) / VLOOKUP("LULUCF|PM25|Respiratory hospital admissions", US_national_yearly!$D:$AM, 10, FALSE), 1)</f>
        <v>6.5314338513285293E-5</v>
      </c>
      <c r="X12" s="7">
        <f>$B12 * IFERROR(VLOOKUP("LULUCF|PM25|Respiratory hospital admissions", US_national_yearly!$D:$AM, 32, FALSE) / VLOOKUP("LULUCF|PM25|Respiratory hospital admissions", US_national_yearly!$D:$AM, 10, FALSE), 1)</f>
        <v>6.5543899421479818E-5</v>
      </c>
      <c r="Y12" s="7">
        <f>$B12 * IFERROR(VLOOKUP("LULUCF|PM25|Respiratory hospital admissions", US_national_yearly!$D:$AM, 33, FALSE) / VLOOKUP("LULUCF|PM25|Respiratory hospital admissions", US_national_yearly!$D:$AM, 10, FALSE), 1)</f>
        <v>6.5773460329674304E-5</v>
      </c>
      <c r="Z12" s="7">
        <f>$B12 * IFERROR(VLOOKUP("LULUCF|PM25|Respiratory hospital admissions", US_national_yearly!$D:$AM, 34, FALSE) / VLOOKUP("LULUCF|PM25|Respiratory hospital admissions", US_national_yearly!$D:$AM, 10, FALSE), 1)</f>
        <v>6.6003021237868816E-5</v>
      </c>
      <c r="AA12" s="7">
        <f>$B12 * IFERROR(VLOOKUP("LULUCF|PM25|Respiratory hospital admissions", US_national_yearly!$D:$AM, 35, FALSE) / VLOOKUP("LULUCF|PM25|Respiratory hospital admissions", US_national_yearly!$D:$AM, 10, FALSE), 1)</f>
        <v>6.6232582146063301E-5</v>
      </c>
      <c r="AB12" s="7">
        <f>$B12 * IFERROR(VLOOKUP("LULUCF|PM25|Respiratory hospital admissions", US_national_yearly!$D:$AM, 36, FALSE) / VLOOKUP("LULUCF|PM25|Respiratory hospital admissions", US_national_yearly!$D:$AM, 10, FALSE), 1)</f>
        <v>6.6462143054257799E-5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3.4905448211431267E-4</v>
      </c>
      <c r="C13" s="7">
        <f>$B13 * IFERROR(VLOOKUP("LULUCF|PM25|Non-fatal heart attacks", US_national_yearly!$D:$AM, 11, FALSE) / VLOOKUP("LULUCF|PM25|Non-fatal heart attacks", US_national_yearly!$D:$AM, 10, FALSE), 1)</f>
        <v>3.5920242219395805E-4</v>
      </c>
      <c r="D13" s="7">
        <f>$B13 * IFERROR(VLOOKUP("LULUCF|PM25|Non-fatal heart attacks", US_national_yearly!$D:$AM, 12, FALSE) / VLOOKUP("LULUCF|PM25|Non-fatal heart attacks", US_national_yearly!$D:$AM, 10, FALSE), 1)</f>
        <v>3.6935036227360348E-4</v>
      </c>
      <c r="E13" s="7">
        <f>$B13 * IFERROR(VLOOKUP("LULUCF|PM25|Non-fatal heart attacks", US_national_yearly!$D:$AM, 13, FALSE) / VLOOKUP("LULUCF|PM25|Non-fatal heart attacks", US_national_yearly!$D:$AM, 10, FALSE), 1)</f>
        <v>3.7949830235324881E-4</v>
      </c>
      <c r="F13" s="7">
        <f>$B13 * IFERROR(VLOOKUP("LULUCF|PM25|Non-fatal heart attacks", US_national_yearly!$D:$AM, 14, FALSE) / VLOOKUP("LULUCF|PM25|Non-fatal heart attacks", US_national_yearly!$D:$AM, 10, FALSE), 1)</f>
        <v>3.8964624243289424E-4</v>
      </c>
      <c r="G13" s="7">
        <f>$B13 * IFERROR(VLOOKUP("LULUCF|PM25|Non-fatal heart attacks", US_national_yearly!$D:$AM, 15, FALSE) / VLOOKUP("LULUCF|PM25|Non-fatal heart attacks", US_national_yearly!$D:$AM, 10, FALSE), 1)</f>
        <v>3.9921639146833407E-4</v>
      </c>
      <c r="H13" s="7">
        <f>$B13 * IFERROR(VLOOKUP("LULUCF|PM25|Non-fatal heart attacks", US_national_yearly!$D:$AM, 16, FALSE) / VLOOKUP("LULUCF|PM25|Non-fatal heart attacks", US_national_yearly!$D:$AM, 10, FALSE), 1)</f>
        <v>4.087865405037738E-4</v>
      </c>
      <c r="I13" s="7">
        <f>$B13 * IFERROR(VLOOKUP("LULUCF|PM25|Non-fatal heart attacks", US_national_yearly!$D:$AM, 17, FALSE) / VLOOKUP("LULUCF|PM25|Non-fatal heart attacks", US_national_yearly!$D:$AM, 10, FALSE), 1)</f>
        <v>4.1647775581327156E-4</v>
      </c>
      <c r="J13" s="7">
        <f>$B13 * IFERROR(VLOOKUP("LULUCF|PM25|Non-fatal heart attacks", US_national_yearly!$D:$AM, 18, FALSE) / VLOOKUP("LULUCF|PM25|Non-fatal heart attacks", US_national_yearly!$D:$AM, 10, FALSE), 1)</f>
        <v>4.2416897112276938E-4</v>
      </c>
      <c r="K13" s="7">
        <f>$B13 * IFERROR(VLOOKUP("LULUCF|PM25|Non-fatal heart attacks", US_national_yearly!$D:$AM, 19, FALSE) / VLOOKUP("LULUCF|PM25|Non-fatal heart attacks", US_national_yearly!$D:$AM, 10, FALSE), 1)</f>
        <v>4.3186018643226725E-4</v>
      </c>
      <c r="L13" s="7">
        <f>$B13 * IFERROR(VLOOKUP("LULUCF|PM25|Non-fatal heart attacks", US_national_yearly!$D:$AM, 20, FALSE) / VLOOKUP("LULUCF|PM25|Non-fatal heart attacks", US_national_yearly!$D:$AM, 10, FALSE), 1)</f>
        <v>4.3955140174176501E-4</v>
      </c>
      <c r="M13" s="7">
        <f>$B13 * IFERROR(VLOOKUP("LULUCF|PM25|Non-fatal heart attacks", US_national_yearly!$D:$AM, 21, FALSE) / VLOOKUP("LULUCF|PM25|Non-fatal heart attacks", US_national_yearly!$D:$AM, 10, FALSE), 1)</f>
        <v>4.4724261705126288E-4</v>
      </c>
      <c r="N13" s="7">
        <f>$B13 * IFERROR(VLOOKUP("LULUCF|PM25|Non-fatal heart attacks", US_national_yearly!$D:$AM, 22, FALSE) / VLOOKUP("LULUCF|PM25|Non-fatal heart attacks", US_national_yearly!$D:$AM, 10, FALSE), 1)</f>
        <v>4.5220269145314389E-4</v>
      </c>
      <c r="O13" s="7">
        <f>$B13 * IFERROR(VLOOKUP("LULUCF|PM25|Non-fatal heart attacks", US_national_yearly!$D:$AM, 23, FALSE) / VLOOKUP("LULUCF|PM25|Non-fatal heart attacks", US_national_yearly!$D:$AM, 10, FALSE), 1)</f>
        <v>4.5716276585502501E-4</v>
      </c>
      <c r="P13" s="7">
        <f>$B13 * IFERROR(VLOOKUP("LULUCF|PM25|Non-fatal heart attacks", US_national_yearly!$D:$AM, 24, FALSE) / VLOOKUP("LULUCF|PM25|Non-fatal heart attacks", US_national_yearly!$D:$AM, 10, FALSE), 1)</f>
        <v>4.6212284025690613E-4</v>
      </c>
      <c r="Q13" s="7">
        <f>$B13 * IFERROR(VLOOKUP("LULUCF|PM25|Non-fatal heart attacks", US_national_yearly!$D:$AM, 25, FALSE) / VLOOKUP("LULUCF|PM25|Non-fatal heart attacks", US_national_yearly!$D:$AM, 10, FALSE), 1)</f>
        <v>4.670829146587872E-4</v>
      </c>
      <c r="R13" s="7">
        <f>$B13 * IFERROR(VLOOKUP("LULUCF|PM25|Non-fatal heart attacks", US_national_yearly!$D:$AM, 26, FALSE) / VLOOKUP("LULUCF|PM25|Non-fatal heart attacks", US_national_yearly!$D:$AM, 10, FALSE), 1)</f>
        <v>4.7204298906066832E-4</v>
      </c>
      <c r="S13" s="7">
        <f>$B13 * IFERROR(VLOOKUP("LULUCF|PM25|Non-fatal heart attacks", US_national_yearly!$D:$AM, 27, FALSE) / VLOOKUP("LULUCF|PM25|Non-fatal heart attacks", US_national_yearly!$D:$AM, 10, FALSE), 1)</f>
        <v>4.7465510594894302E-4</v>
      </c>
      <c r="T13" s="7">
        <f>$B13 * IFERROR(VLOOKUP("LULUCF|PM25|Non-fatal heart attacks", US_national_yearly!$D:$AM, 28, FALSE) / VLOOKUP("LULUCF|PM25|Non-fatal heart attacks", US_national_yearly!$D:$AM, 10, FALSE), 1)</f>
        <v>4.7726722283721794E-4</v>
      </c>
      <c r="U13" s="7">
        <f>$B13 * IFERROR(VLOOKUP("LULUCF|PM25|Non-fatal heart attacks", US_national_yearly!$D:$AM, 29, FALSE) / VLOOKUP("LULUCF|PM25|Non-fatal heart attacks", US_national_yearly!$D:$AM, 10, FALSE), 1)</f>
        <v>4.7987933972549286E-4</v>
      </c>
      <c r="V13" s="7">
        <f>$B13 * IFERROR(VLOOKUP("LULUCF|PM25|Non-fatal heart attacks", US_national_yearly!$D:$AM, 30, FALSE) / VLOOKUP("LULUCF|PM25|Non-fatal heart attacks", US_national_yearly!$D:$AM, 10, FALSE), 1)</f>
        <v>4.8249145661376767E-4</v>
      </c>
      <c r="W13" s="7">
        <f>$B13 * IFERROR(VLOOKUP("LULUCF|PM25|Non-fatal heart attacks", US_national_yearly!$D:$AM, 31, FALSE) / VLOOKUP("LULUCF|PM25|Non-fatal heart attacks", US_national_yearly!$D:$AM, 10, FALSE), 1)</f>
        <v>4.8510357350204248E-4</v>
      </c>
      <c r="X13" s="7">
        <f>$B13 * IFERROR(VLOOKUP("LULUCF|PM25|Non-fatal heart attacks", US_national_yearly!$D:$AM, 32, FALSE) / VLOOKUP("LULUCF|PM25|Non-fatal heart attacks", US_national_yearly!$D:$AM, 10, FALSE), 1)</f>
        <v>4.8708654792458251E-4</v>
      </c>
      <c r="Y13" s="7">
        <f>$B13 * IFERROR(VLOOKUP("LULUCF|PM25|Non-fatal heart attacks", US_national_yearly!$D:$AM, 33, FALSE) / VLOOKUP("LULUCF|PM25|Non-fatal heart attacks", US_national_yearly!$D:$AM, 10, FALSE), 1)</f>
        <v>4.8906952234712266E-4</v>
      </c>
      <c r="Z13" s="7">
        <f>$B13 * IFERROR(VLOOKUP("LULUCF|PM25|Non-fatal heart attacks", US_national_yearly!$D:$AM, 34, FALSE) / VLOOKUP("LULUCF|PM25|Non-fatal heart attacks", US_national_yearly!$D:$AM, 10, FALSE), 1)</f>
        <v>4.9105249676966269E-4</v>
      </c>
      <c r="AA13" s="7">
        <f>$B13 * IFERROR(VLOOKUP("LULUCF|PM25|Non-fatal heart attacks", US_national_yearly!$D:$AM, 35, FALSE) / VLOOKUP("LULUCF|PM25|Non-fatal heart attacks", US_national_yearly!$D:$AM, 10, FALSE), 1)</f>
        <v>4.9303547119220283E-4</v>
      </c>
      <c r="AB13" s="7">
        <f>$B13 * IFERROR(VLOOKUP("LULUCF|PM25|Non-fatal heart attacks", US_national_yearly!$D:$AM, 36, FALSE) / VLOOKUP("LULUCF|PM25|Non-fatal heart attacks", US_national_yearly!$D:$AM, 10, FALSE), 1)</f>
        <v>4.9501844561474287E-4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7.518302101263527E-2</v>
      </c>
      <c r="C14" s="7">
        <f>$B14 * IFERROR(VLOOKUP("LULUCF|PM25|Minor restricted activity days", US_national_yearly!$D:$AM, 11, FALSE) / VLOOKUP("LULUCF|PM25|Minor restricted activity days", US_national_yearly!$D:$AM, 10, FALSE), 1)</f>
        <v>7.5366626865969039E-2</v>
      </c>
      <c r="D14" s="7">
        <f>$B14 * IFERROR(VLOOKUP("LULUCF|PM25|Minor restricted activity days", US_national_yearly!$D:$AM, 12, FALSE) / VLOOKUP("LULUCF|PM25|Minor restricted activity days", US_national_yearly!$D:$AM, 10, FALSE), 1)</f>
        <v>7.5550232719302807E-2</v>
      </c>
      <c r="E14" s="7">
        <f>$B14 * IFERROR(VLOOKUP("LULUCF|PM25|Minor restricted activity days", US_national_yearly!$D:$AM, 13, FALSE) / VLOOKUP("LULUCF|PM25|Minor restricted activity days", US_national_yearly!$D:$AM, 10, FALSE), 1)</f>
        <v>7.5733838572636589E-2</v>
      </c>
      <c r="F14" s="7">
        <f>$B14 * IFERROR(VLOOKUP("LULUCF|PM25|Minor restricted activity days", US_national_yearly!$D:$AM, 14, FALSE) / VLOOKUP("LULUCF|PM25|Minor restricted activity days", US_national_yearly!$D:$AM, 10, FALSE), 1)</f>
        <v>7.5917444425970343E-2</v>
      </c>
      <c r="G14" s="7">
        <f>$B14 * IFERROR(VLOOKUP("LULUCF|PM25|Minor restricted activity days", US_national_yearly!$D:$AM, 15, FALSE) / VLOOKUP("LULUCF|PM25|Minor restricted activity days", US_national_yearly!$D:$AM, 10, FALSE), 1)</f>
        <v>7.618834936771729E-2</v>
      </c>
      <c r="H14" s="7">
        <f>$B14 * IFERROR(VLOOKUP("LULUCF|PM25|Minor restricted activity days", US_national_yearly!$D:$AM, 16, FALSE) / VLOOKUP("LULUCF|PM25|Minor restricted activity days", US_national_yearly!$D:$AM, 10, FALSE), 1)</f>
        <v>7.645925430946425E-2</v>
      </c>
      <c r="I14" s="7">
        <f>$B14 * IFERROR(VLOOKUP("LULUCF|PM25|Minor restricted activity days", US_national_yearly!$D:$AM, 17, FALSE) / VLOOKUP("LULUCF|PM25|Minor restricted activity days", US_national_yearly!$D:$AM, 10, FALSE), 1)</f>
        <v>7.6922377704576619E-2</v>
      </c>
      <c r="J14" s="7">
        <f>$B14 * IFERROR(VLOOKUP("LULUCF|PM25|Minor restricted activity days", US_national_yearly!$D:$AM, 18, FALSE) / VLOOKUP("LULUCF|PM25|Minor restricted activity days", US_national_yearly!$D:$AM, 10, FALSE), 1)</f>
        <v>7.7385501099688961E-2</v>
      </c>
      <c r="K14" s="7">
        <f>$B14 * IFERROR(VLOOKUP("LULUCF|PM25|Minor restricted activity days", US_national_yearly!$D:$AM, 19, FALSE) / VLOOKUP("LULUCF|PM25|Minor restricted activity days", US_national_yearly!$D:$AM, 10, FALSE), 1)</f>
        <v>7.7848624494801344E-2</v>
      </c>
      <c r="L14" s="7">
        <f>$B14 * IFERROR(VLOOKUP("LULUCF|PM25|Minor restricted activity days", US_national_yearly!$D:$AM, 20, FALSE) / VLOOKUP("LULUCF|PM25|Minor restricted activity days", US_national_yearly!$D:$AM, 10, FALSE), 1)</f>
        <v>7.8311747889913699E-2</v>
      </c>
      <c r="M14" s="7">
        <f>$B14 * IFERROR(VLOOKUP("LULUCF|PM25|Minor restricted activity days", US_national_yearly!$D:$AM, 21, FALSE) / VLOOKUP("LULUCF|PM25|Minor restricted activity days", US_national_yearly!$D:$AM, 10, FALSE), 1)</f>
        <v>7.8774871285026055E-2</v>
      </c>
      <c r="N14" s="7">
        <f>$B14 * IFERROR(VLOOKUP("LULUCF|PM25|Minor restricted activity days", US_national_yearly!$D:$AM, 22, FALSE) / VLOOKUP("LULUCF|PM25|Minor restricted activity days", US_national_yearly!$D:$AM, 10, FALSE), 1)</f>
        <v>7.9405737556873079E-2</v>
      </c>
      <c r="O14" s="7">
        <f>$B14 * IFERROR(VLOOKUP("LULUCF|PM25|Minor restricted activity days", US_national_yearly!$D:$AM, 23, FALSE) / VLOOKUP("LULUCF|PM25|Minor restricted activity days", US_national_yearly!$D:$AM, 10, FALSE), 1)</f>
        <v>8.0036603828720077E-2</v>
      </c>
      <c r="P14" s="7">
        <f>$B14 * IFERROR(VLOOKUP("LULUCF|PM25|Minor restricted activity days", US_national_yearly!$D:$AM, 24, FALSE) / VLOOKUP("LULUCF|PM25|Minor restricted activity days", US_national_yearly!$D:$AM, 10, FALSE), 1)</f>
        <v>8.0667470100567101E-2</v>
      </c>
      <c r="Q14" s="7">
        <f>$B14 * IFERROR(VLOOKUP("LULUCF|PM25|Minor restricted activity days", US_national_yearly!$D:$AM, 25, FALSE) / VLOOKUP("LULUCF|PM25|Minor restricted activity days", US_national_yearly!$D:$AM, 10, FALSE), 1)</f>
        <v>8.1298336372414098E-2</v>
      </c>
      <c r="R14" s="7">
        <f>$B14 * IFERROR(VLOOKUP("LULUCF|PM25|Minor restricted activity days", US_national_yearly!$D:$AM, 26, FALSE) / VLOOKUP("LULUCF|PM25|Minor restricted activity days", US_national_yearly!$D:$AM, 10, FALSE), 1)</f>
        <v>8.1929202644261109E-2</v>
      </c>
      <c r="S14" s="7">
        <f>$B14 * IFERROR(VLOOKUP("LULUCF|PM25|Minor restricted activity days", US_national_yearly!$D:$AM, 27, FALSE) / VLOOKUP("LULUCF|PM25|Minor restricted activity days", US_national_yearly!$D:$AM, 10, FALSE), 1)</f>
        <v>8.2564413485400445E-2</v>
      </c>
      <c r="T14" s="7">
        <f>$B14 * IFERROR(VLOOKUP("LULUCF|PM25|Minor restricted activity days", US_national_yearly!$D:$AM, 28, FALSE) / VLOOKUP("LULUCF|PM25|Minor restricted activity days", US_national_yearly!$D:$AM, 10, FALSE), 1)</f>
        <v>8.3199624326539795E-2</v>
      </c>
      <c r="U14" s="7">
        <f>$B14 * IFERROR(VLOOKUP("LULUCF|PM25|Minor restricted activity days", US_national_yearly!$D:$AM, 29, FALSE) / VLOOKUP("LULUCF|PM25|Minor restricted activity days", US_national_yearly!$D:$AM, 10, FALSE), 1)</f>
        <v>8.3834835167679131E-2</v>
      </c>
      <c r="V14" s="7">
        <f>$B14 * IFERROR(VLOOKUP("LULUCF|PM25|Minor restricted activity days", US_national_yearly!$D:$AM, 30, FALSE) / VLOOKUP("LULUCF|PM25|Minor restricted activity days", US_national_yearly!$D:$AM, 10, FALSE), 1)</f>
        <v>8.4470046008818481E-2</v>
      </c>
      <c r="W14" s="7">
        <f>$B14 * IFERROR(VLOOKUP("LULUCF|PM25|Minor restricted activity days", US_national_yearly!$D:$AM, 31, FALSE) / VLOOKUP("LULUCF|PM25|Minor restricted activity days", US_national_yearly!$D:$AM, 10, FALSE), 1)</f>
        <v>8.5105256849957817E-2</v>
      </c>
      <c r="X14" s="7">
        <f>$B14 * IFERROR(VLOOKUP("LULUCF|PM25|Minor restricted activity days", US_national_yearly!$D:$AM, 32, FALSE) / VLOOKUP("LULUCF|PM25|Minor restricted activity days", US_national_yearly!$D:$AM, 10, FALSE), 1)</f>
        <v>8.5656683763493224E-2</v>
      </c>
      <c r="Y14" s="7">
        <f>$B14 * IFERROR(VLOOKUP("LULUCF|PM25|Minor restricted activity days", US_national_yearly!$D:$AM, 33, FALSE) / VLOOKUP("LULUCF|PM25|Minor restricted activity days", US_national_yearly!$D:$AM, 10, FALSE), 1)</f>
        <v>8.6208110677028632E-2</v>
      </c>
      <c r="Z14" s="7">
        <f>$B14 * IFERROR(VLOOKUP("LULUCF|PM25|Minor restricted activity days", US_national_yearly!$D:$AM, 34, FALSE) / VLOOKUP("LULUCF|PM25|Minor restricted activity days", US_national_yearly!$D:$AM, 10, FALSE), 1)</f>
        <v>8.675953759056404E-2</v>
      </c>
      <c r="AA14" s="7">
        <f>$B14 * IFERROR(VLOOKUP("LULUCF|PM25|Minor restricted activity days", US_national_yearly!$D:$AM, 35, FALSE) / VLOOKUP("LULUCF|PM25|Minor restricted activity days", US_national_yearly!$D:$AM, 10, FALSE), 1)</f>
        <v>8.731096450409942E-2</v>
      </c>
      <c r="AB14" s="7">
        <f>$B14 * IFERROR(VLOOKUP("LULUCF|PM25|Minor restricted activity days", US_national_yearly!$D:$AM, 36, FALSE) / VLOOKUP("LULUCF|PM25|Minor restricted activity days", US_national_yearly!$D:$AM, 10, FALSE), 1)</f>
        <v>8.7862391417634828E-2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1.2691952528793101E-2</v>
      </c>
      <c r="C15" s="7">
        <f>$B15 * IFERROR(VLOOKUP("LULUCF|PM25|Work loss days", US_national_yearly!$D:$AM, 11, FALSE) / VLOOKUP("LULUCF|PM25|Work loss days", US_national_yearly!$D:$AM, 10, FALSE), 1)</f>
        <v>1.2731293010361723E-2</v>
      </c>
      <c r="D15" s="7">
        <f>$B15 * IFERROR(VLOOKUP("LULUCF|PM25|Work loss days", US_national_yearly!$D:$AM, 12, FALSE) / VLOOKUP("LULUCF|PM25|Work loss days", US_national_yearly!$D:$AM, 10, FALSE), 1)</f>
        <v>1.2770633491930349E-2</v>
      </c>
      <c r="E15" s="7">
        <f>$B15 * IFERROR(VLOOKUP("LULUCF|PM25|Work loss days", US_national_yearly!$D:$AM, 13, FALSE) / VLOOKUP("LULUCF|PM25|Work loss days", US_national_yearly!$D:$AM, 10, FALSE), 1)</f>
        <v>1.2809973973498971E-2</v>
      </c>
      <c r="F15" s="7">
        <f>$B15 * IFERROR(VLOOKUP("LULUCF|PM25|Work loss days", US_national_yearly!$D:$AM, 14, FALSE) / VLOOKUP("LULUCF|PM25|Work loss days", US_national_yearly!$D:$AM, 10, FALSE), 1)</f>
        <v>1.2849314455067594E-2</v>
      </c>
      <c r="G15" s="7">
        <f>$B15 * IFERROR(VLOOKUP("LULUCF|PM25|Work loss days", US_national_yearly!$D:$AM, 15, FALSE) / VLOOKUP("LULUCF|PM25|Work loss days", US_national_yearly!$D:$AM, 10, FALSE), 1)</f>
        <v>1.2900892336757917E-2</v>
      </c>
      <c r="H15" s="7">
        <f>$B15 * IFERROR(VLOOKUP("LULUCF|PM25|Work loss days", US_national_yearly!$D:$AM, 16, FALSE) / VLOOKUP("LULUCF|PM25|Work loss days", US_national_yearly!$D:$AM, 10, FALSE), 1)</f>
        <v>1.2952470218448245E-2</v>
      </c>
      <c r="I15" s="7">
        <f>$B15 * IFERROR(VLOOKUP("LULUCF|PM25|Work loss days", US_national_yearly!$D:$AM, 17, FALSE) / VLOOKUP("LULUCF|PM25|Work loss days", US_national_yearly!$D:$AM, 10, FALSE), 1)</f>
        <v>1.3028424322025814E-2</v>
      </c>
      <c r="J15" s="7">
        <f>$B15 * IFERROR(VLOOKUP("LULUCF|PM25|Work loss days", US_national_yearly!$D:$AM, 18, FALSE) / VLOOKUP("LULUCF|PM25|Work loss days", US_national_yearly!$D:$AM, 10, FALSE), 1)</f>
        <v>1.3104378425603386E-2</v>
      </c>
      <c r="K15" s="7">
        <f>$B15 * IFERROR(VLOOKUP("LULUCF|PM25|Work loss days", US_national_yearly!$D:$AM, 19, FALSE) / VLOOKUP("LULUCF|PM25|Work loss days", US_national_yearly!$D:$AM, 10, FALSE), 1)</f>
        <v>1.3180332529180955E-2</v>
      </c>
      <c r="L15" s="7">
        <f>$B15 * IFERROR(VLOOKUP("LULUCF|PM25|Work loss days", US_national_yearly!$D:$AM, 20, FALSE) / VLOOKUP("LULUCF|PM25|Work loss days", US_national_yearly!$D:$AM, 10, FALSE), 1)</f>
        <v>1.3256286632758527E-2</v>
      </c>
      <c r="M15" s="7">
        <f>$B15 * IFERROR(VLOOKUP("LULUCF|PM25|Work loss days", US_national_yearly!$D:$AM, 21, FALSE) / VLOOKUP("LULUCF|PM25|Work loss days", US_national_yearly!$D:$AM, 10, FALSE), 1)</f>
        <v>1.3332240736336097E-2</v>
      </c>
      <c r="N15" s="7">
        <f>$B15 * IFERROR(VLOOKUP("LULUCF|PM25|Work loss days", US_national_yearly!$D:$AM, 22, FALSE) / VLOOKUP("LULUCF|PM25|Work loss days", US_national_yearly!$D:$AM, 10, FALSE), 1)</f>
        <v>1.3427834724563506E-2</v>
      </c>
      <c r="O15" s="7">
        <f>$B15 * IFERROR(VLOOKUP("LULUCF|PM25|Work loss days", US_national_yearly!$D:$AM, 23, FALSE) / VLOOKUP("LULUCF|PM25|Work loss days", US_national_yearly!$D:$AM, 10, FALSE), 1)</f>
        <v>1.3523428712790914E-2</v>
      </c>
      <c r="P15" s="7">
        <f>$B15 * IFERROR(VLOOKUP("LULUCF|PM25|Work loss days", US_national_yearly!$D:$AM, 24, FALSE) / VLOOKUP("LULUCF|PM25|Work loss days", US_national_yearly!$D:$AM, 10, FALSE), 1)</f>
        <v>1.3619022701018323E-2</v>
      </c>
      <c r="Q15" s="7">
        <f>$B15 * IFERROR(VLOOKUP("LULUCF|PM25|Work loss days", US_national_yearly!$D:$AM, 25, FALSE) / VLOOKUP("LULUCF|PM25|Work loss days", US_national_yearly!$D:$AM, 10, FALSE), 1)</f>
        <v>1.3714616689245729E-2</v>
      </c>
      <c r="R15" s="7">
        <f>$B15 * IFERROR(VLOOKUP("LULUCF|PM25|Work loss days", US_national_yearly!$D:$AM, 26, FALSE) / VLOOKUP("LULUCF|PM25|Work loss days", US_national_yearly!$D:$AM, 10, FALSE), 1)</f>
        <v>1.3810210677473138E-2</v>
      </c>
      <c r="S15" s="7">
        <f>$B15 * IFERROR(VLOOKUP("LULUCF|PM25|Work loss days", US_national_yearly!$D:$AM, 27, FALSE) / VLOOKUP("LULUCF|PM25|Work loss days", US_national_yearly!$D:$AM, 10, FALSE), 1)</f>
        <v>1.3915941709690105E-2</v>
      </c>
      <c r="T15" s="7">
        <f>$B15 * IFERROR(VLOOKUP("LULUCF|PM25|Work loss days", US_national_yearly!$D:$AM, 28, FALSE) / VLOOKUP("LULUCF|PM25|Work loss days", US_national_yearly!$D:$AM, 10, FALSE), 1)</f>
        <v>1.4021672741907073E-2</v>
      </c>
      <c r="U15" s="7">
        <f>$B15 * IFERROR(VLOOKUP("LULUCF|PM25|Work loss days", US_national_yearly!$D:$AM, 29, FALSE) / VLOOKUP("LULUCF|PM25|Work loss days", US_national_yearly!$D:$AM, 10, FALSE), 1)</f>
        <v>1.4127403774124036E-2</v>
      </c>
      <c r="V15" s="7">
        <f>$B15 * IFERROR(VLOOKUP("LULUCF|PM25|Work loss days", US_national_yearly!$D:$AM, 30, FALSE) / VLOOKUP("LULUCF|PM25|Work loss days", US_national_yearly!$D:$AM, 10, FALSE), 1)</f>
        <v>1.4233134806341004E-2</v>
      </c>
      <c r="W15" s="7">
        <f>$B15 * IFERROR(VLOOKUP("LULUCF|PM25|Work loss days", US_national_yearly!$D:$AM, 31, FALSE) / VLOOKUP("LULUCF|PM25|Work loss days", US_national_yearly!$D:$AM, 10, FALSE), 1)</f>
        <v>1.4338865838557971E-2</v>
      </c>
      <c r="X15" s="7">
        <f>$B15 * IFERROR(VLOOKUP("LULUCF|PM25|Work loss days", US_national_yearly!$D:$AM, 32, FALSE) / VLOOKUP("LULUCF|PM25|Work loss days", US_national_yearly!$D:$AM, 10, FALSE), 1)</f>
        <v>1.4432677780176806E-2</v>
      </c>
      <c r="Y15" s="7">
        <f>$B15 * IFERROR(VLOOKUP("LULUCF|PM25|Work loss days", US_national_yearly!$D:$AM, 33, FALSE) / VLOOKUP("LULUCF|PM25|Work loss days", US_national_yearly!$D:$AM, 10, FALSE), 1)</f>
        <v>1.4526489721795644E-2</v>
      </c>
      <c r="Z15" s="7">
        <f>$B15 * IFERROR(VLOOKUP("LULUCF|PM25|Work loss days", US_national_yearly!$D:$AM, 34, FALSE) / VLOOKUP("LULUCF|PM25|Work loss days", US_national_yearly!$D:$AM, 10, FALSE), 1)</f>
        <v>1.4620301663414484E-2</v>
      </c>
      <c r="AA15" s="7">
        <f>$B15 * IFERROR(VLOOKUP("LULUCF|PM25|Work loss days", US_national_yearly!$D:$AM, 35, FALSE) / VLOOKUP("LULUCF|PM25|Work loss days", US_national_yearly!$D:$AM, 10, FALSE), 1)</f>
        <v>1.4714113605033323E-2</v>
      </c>
      <c r="AB15" s="7">
        <f>$B15 * IFERROR(VLOOKUP("LULUCF|PM25|Work loss days", US_national_yearly!$D:$AM, 36, FALSE) / VLOOKUP("LULUCF|PM25|Work loss days", US_national_yearly!$D:$AM, 10, FALSE), 1)</f>
        <v>1.4807925546652159E-2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8.6411613774569794E-5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8.899365305042879E-5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9.1575692326287814E-5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9.4157731602146825E-5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9.6739770878005848E-5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9.9212903282993228E-5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1.0168603568798065E-4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1.0380119430113794E-4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1.0591635291429521E-4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1.0803151152745247E-4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1.1014667014060978E-4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1.1226182875376704E-4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1.1367205329304991E-4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1.150822778323328E-4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1.1649250237161567E-4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1.1790272691089856E-4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1.1931295145018144E-4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1.2005909189153225E-4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1.2080523233288303E-4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1.2155137277423379E-4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1.2229751321558458E-4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1.2304365365693536E-4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1.2354596521676179E-4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1.2404827677658822E-4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1.2455058833641463E-4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1.2505289989624106E-4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1.2555521145606749E-4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2.9022760702458516E-4</v>
      </c>
      <c r="C2" s="7">
        <f>$B2 * IFERROR(VLOOKUP("LULUCF|NOx|Premature mortality", US_national_yearly!$D:$AM, 11, FALSE) / VLOOKUP("LULUCF|NOx|Premature mortality", US_national_yearly!$D:$AM, 10, FALSE), 1)</f>
        <v>2.9449056001361367E-4</v>
      </c>
      <c r="D2" s="7">
        <f>$B2 * IFERROR(VLOOKUP("LULUCF|NOx|Premature mortality", US_national_yearly!$D:$AM, 12, FALSE) / VLOOKUP("LULUCF|NOx|Premature mortality", US_national_yearly!$D:$AM, 10, FALSE), 1)</f>
        <v>2.9875351300264212E-4</v>
      </c>
      <c r="E2" s="7">
        <f>$B2 * IFERROR(VLOOKUP("LULUCF|NOx|Premature mortality", US_national_yearly!$D:$AM, 13, FALSE) / VLOOKUP("LULUCF|NOx|Premature mortality", US_national_yearly!$D:$AM, 10, FALSE), 1)</f>
        <v>3.0301646599167068E-4</v>
      </c>
      <c r="F2" s="7">
        <f>$B2 * IFERROR(VLOOKUP("LULUCF|NOx|Premature mortality", US_national_yearly!$D:$AM, 14, FALSE) / VLOOKUP("LULUCF|NOx|Premature mortality", US_national_yearly!$D:$AM, 10, FALSE), 1)</f>
        <v>3.0727941898069918E-4</v>
      </c>
      <c r="G2" s="7">
        <f>$B2 * IFERROR(VLOOKUP("LULUCF|NOx|Premature mortality", US_national_yearly!$D:$AM, 15, FALSE) / VLOOKUP("LULUCF|NOx|Premature mortality", US_national_yearly!$D:$AM, 10, FALSE), 1)</f>
        <v>3.1493669041426291E-4</v>
      </c>
      <c r="H2" s="7">
        <f>$B2 * IFERROR(VLOOKUP("LULUCF|NOx|Premature mortality", US_national_yearly!$D:$AM, 16, FALSE) / VLOOKUP("LULUCF|NOx|Premature mortality", US_national_yearly!$D:$AM, 10, FALSE), 1)</f>
        <v>3.2259396184782673E-4</v>
      </c>
      <c r="I2" s="7">
        <f>$B2 * IFERROR(VLOOKUP("LULUCF|NOx|Premature mortality", US_national_yearly!$D:$AM, 17, FALSE) / VLOOKUP("LULUCF|NOx|Premature mortality", US_national_yearly!$D:$AM, 10, FALSE), 1)</f>
        <v>3.2753687580617901E-4</v>
      </c>
      <c r="J2" s="7">
        <f>$B2 * IFERROR(VLOOKUP("LULUCF|NOx|Premature mortality", US_national_yearly!$D:$AM, 18, FALSE) / VLOOKUP("LULUCF|NOx|Premature mortality", US_national_yearly!$D:$AM, 10, FALSE), 1)</f>
        <v>3.3247978976453133E-4</v>
      </c>
      <c r="K2" s="7">
        <f>$B2 * IFERROR(VLOOKUP("LULUCF|NOx|Premature mortality", US_national_yearly!$D:$AM, 19, FALSE) / VLOOKUP("LULUCF|NOx|Premature mortality", US_national_yearly!$D:$AM, 10, FALSE), 1)</f>
        <v>3.3742270372288361E-4</v>
      </c>
      <c r="L2" s="7">
        <f>$B2 * IFERROR(VLOOKUP("LULUCF|NOx|Premature mortality", US_national_yearly!$D:$AM, 20, FALSE) / VLOOKUP("LULUCF|NOx|Premature mortality", US_national_yearly!$D:$AM, 10, FALSE), 1)</f>
        <v>3.4236561768123582E-4</v>
      </c>
      <c r="M2" s="7">
        <f>$B2 * IFERROR(VLOOKUP("LULUCF|NOx|Premature mortality", US_national_yearly!$D:$AM, 21, FALSE) / VLOOKUP("LULUCF|NOx|Premature mortality", US_national_yearly!$D:$AM, 10, FALSE), 1)</f>
        <v>3.4730853163958815E-4</v>
      </c>
      <c r="N2" s="7">
        <f>$B2 * IFERROR(VLOOKUP("LULUCF|NOx|Premature mortality", US_national_yearly!$D:$AM, 22, FALSE) / VLOOKUP("LULUCF|NOx|Premature mortality", US_national_yearly!$D:$AM, 10, FALSE), 1)</f>
        <v>3.5097022308414153E-4</v>
      </c>
      <c r="O2" s="7">
        <f>$B2 * IFERROR(VLOOKUP("LULUCF|NOx|Premature mortality", US_national_yearly!$D:$AM, 23, FALSE) / VLOOKUP("LULUCF|NOx|Premature mortality", US_national_yearly!$D:$AM, 10, FALSE), 1)</f>
        <v>3.5463191452869491E-4</v>
      </c>
      <c r="P2" s="7">
        <f>$B2 * IFERROR(VLOOKUP("LULUCF|NOx|Premature mortality", US_national_yearly!$D:$AM, 24, FALSE) / VLOOKUP("LULUCF|NOx|Premature mortality", US_national_yearly!$D:$AM, 10, FALSE), 1)</f>
        <v>3.5829360597324823E-4</v>
      </c>
      <c r="Q2" s="7">
        <f>$B2 * IFERROR(VLOOKUP("LULUCF|NOx|Premature mortality", US_national_yearly!$D:$AM, 25, FALSE) / VLOOKUP("LULUCF|NOx|Premature mortality", US_national_yearly!$D:$AM, 10, FALSE), 1)</f>
        <v>3.6195529741780166E-4</v>
      </c>
      <c r="R2" s="7">
        <f>$B2 * IFERROR(VLOOKUP("LULUCF|NOx|Premature mortality", US_national_yearly!$D:$AM, 26, FALSE) / VLOOKUP("LULUCF|NOx|Premature mortality", US_national_yearly!$D:$AM, 10, FALSE), 1)</f>
        <v>3.6561698886235499E-4</v>
      </c>
      <c r="S2" s="7">
        <f>$B2 * IFERROR(VLOOKUP("LULUCF|NOx|Premature mortality", US_national_yearly!$D:$AM, 27, FALSE) / VLOOKUP("LULUCF|NOx|Premature mortality", US_national_yearly!$D:$AM, 10, FALSE), 1)</f>
        <v>3.6728126449664736E-4</v>
      </c>
      <c r="T2" s="7">
        <f>$B2 * IFERROR(VLOOKUP("LULUCF|NOx|Premature mortality", US_national_yearly!$D:$AM, 28, FALSE) / VLOOKUP("LULUCF|NOx|Premature mortality", US_national_yearly!$D:$AM, 10, FALSE), 1)</f>
        <v>3.6894554013093973E-4</v>
      </c>
      <c r="U2" s="7">
        <f>$B2 * IFERROR(VLOOKUP("LULUCF|NOx|Premature mortality", US_national_yearly!$D:$AM, 29, FALSE) / VLOOKUP("LULUCF|NOx|Premature mortality", US_national_yearly!$D:$AM, 10, FALSE), 1)</f>
        <v>3.706098157652321E-4</v>
      </c>
      <c r="V2" s="7">
        <f>$B2 * IFERROR(VLOOKUP("LULUCF|NOx|Premature mortality", US_national_yearly!$D:$AM, 30, FALSE) / VLOOKUP("LULUCF|NOx|Premature mortality", US_national_yearly!$D:$AM, 10, FALSE), 1)</f>
        <v>3.7227409139952442E-4</v>
      </c>
      <c r="W2" s="7">
        <f>$B2 * IFERROR(VLOOKUP("LULUCF|NOx|Premature mortality", US_national_yearly!$D:$AM, 31, FALSE) / VLOOKUP("LULUCF|NOx|Premature mortality", US_national_yearly!$D:$AM, 10, FALSE), 1)</f>
        <v>3.7393836703381684E-4</v>
      </c>
      <c r="X2" s="7">
        <f>$B2 * IFERROR(VLOOKUP("LULUCF|NOx|Premature mortality", US_national_yearly!$D:$AM, 32, FALSE) / VLOOKUP("LULUCF|NOx|Premature mortality", US_national_yearly!$D:$AM, 10, FALSE), 1)</f>
        <v>3.7399601658648688E-4</v>
      </c>
      <c r="Y2" s="7">
        <f>$B2 * IFERROR(VLOOKUP("LULUCF|NOx|Premature mortality", US_national_yearly!$D:$AM, 33, FALSE) / VLOOKUP("LULUCF|NOx|Premature mortality", US_national_yearly!$D:$AM, 10, FALSE), 1)</f>
        <v>3.7405366613915692E-4</v>
      </c>
      <c r="Z2" s="7">
        <f>$B2 * IFERROR(VLOOKUP("LULUCF|NOx|Premature mortality", US_national_yearly!$D:$AM, 34, FALSE) / VLOOKUP("LULUCF|NOx|Premature mortality", US_national_yearly!$D:$AM, 10, FALSE), 1)</f>
        <v>3.7411131569182684E-4</v>
      </c>
      <c r="AA2" s="7">
        <f>$B2 * IFERROR(VLOOKUP("LULUCF|NOx|Premature mortality", US_national_yearly!$D:$AM, 35, FALSE) / VLOOKUP("LULUCF|NOx|Premature mortality", US_national_yearly!$D:$AM, 10, FALSE), 1)</f>
        <v>3.7416896524449699E-4</v>
      </c>
      <c r="AB2" s="7">
        <f>$B2 * IFERROR(VLOOKUP("LULUCF|NOx|Premature mortality", US_national_yearly!$D:$AM, 36, FALSE) / VLOOKUP("LULUCF|NOx|Premature mortality", US_national_yearly!$D:$AM, 10, FALSE), 1)</f>
        <v>3.7422661479716697E-4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6.6214568090179255E-7</v>
      </c>
      <c r="C3" s="7">
        <f>$B3 * IFERROR(VLOOKUP("LULUCF|NOx|Infant mortality", US_national_yearly!$D:$AM, 11, FALSE) / VLOOKUP("LULUCF|NOx|Infant mortality", US_national_yearly!$D:$AM, 10, FALSE), 1)</f>
        <v>6.5583705603640737E-7</v>
      </c>
      <c r="D3" s="7">
        <f>$B3 * IFERROR(VLOOKUP("LULUCF|NOx|Infant mortality", US_national_yearly!$D:$AM, 12, FALSE) / VLOOKUP("LULUCF|NOx|Infant mortality", US_national_yearly!$D:$AM, 10, FALSE), 1)</f>
        <v>6.4952843117102209E-7</v>
      </c>
      <c r="E3" s="7">
        <f>$B3 * IFERROR(VLOOKUP("LULUCF|NOx|Infant mortality", US_national_yearly!$D:$AM, 13, FALSE) / VLOOKUP("LULUCF|NOx|Infant mortality", US_national_yearly!$D:$AM, 10, FALSE), 1)</f>
        <v>6.4321980630563691E-7</v>
      </c>
      <c r="F3" s="7">
        <f>$B3 * IFERROR(VLOOKUP("LULUCF|NOx|Infant mortality", US_national_yearly!$D:$AM, 14, FALSE) / VLOOKUP("LULUCF|NOx|Infant mortality", US_national_yearly!$D:$AM, 10, FALSE), 1)</f>
        <v>6.3691118144025173E-7</v>
      </c>
      <c r="G3" s="7">
        <f>$B3 * IFERROR(VLOOKUP("LULUCF|NOx|Infant mortality", US_national_yearly!$D:$AM, 15, FALSE) / VLOOKUP("LULUCF|NOx|Infant mortality", US_national_yearly!$D:$AM, 10, FALSE), 1)</f>
        <v>4.2281309354003561E-7</v>
      </c>
      <c r="H3" s="7">
        <f>$B3 * IFERROR(VLOOKUP("LULUCF|NOx|Infant mortality", US_national_yearly!$D:$AM, 16, FALSE) / VLOOKUP("LULUCF|NOx|Infant mortality", US_national_yearly!$D:$AM, 10, FALSE), 1)</f>
        <v>2.0871500563981951E-7</v>
      </c>
      <c r="I3" s="7">
        <f>$B3 * IFERROR(VLOOKUP("LULUCF|NOx|Infant mortality", US_national_yearly!$D:$AM, 17, FALSE) / VLOOKUP("LULUCF|NOx|Infant mortality", US_national_yearly!$D:$AM, 10, FALSE), 1)</f>
        <v>2.0723919126804654E-7</v>
      </c>
      <c r="J3" s="7">
        <f>$B3 * IFERROR(VLOOKUP("LULUCF|NOx|Infant mortality", US_national_yearly!$D:$AM, 18, FALSE) / VLOOKUP("LULUCF|NOx|Infant mortality", US_national_yearly!$D:$AM, 10, FALSE), 1)</f>
        <v>2.0576337689627352E-7</v>
      </c>
      <c r="K3" s="7">
        <f>$B3 * IFERROR(VLOOKUP("LULUCF|NOx|Infant mortality", US_national_yearly!$D:$AM, 19, FALSE) / VLOOKUP("LULUCF|NOx|Infant mortality", US_national_yearly!$D:$AM, 10, FALSE), 1)</f>
        <v>2.0428756252450054E-7</v>
      </c>
      <c r="L3" s="7">
        <f>$B3 * IFERROR(VLOOKUP("LULUCF|NOx|Infant mortality", US_national_yearly!$D:$AM, 20, FALSE) / VLOOKUP("LULUCF|NOx|Infant mortality", US_national_yearly!$D:$AM, 10, FALSE), 1)</f>
        <v>2.0281174815272757E-7</v>
      </c>
      <c r="M3" s="7">
        <f>$B3 * IFERROR(VLOOKUP("LULUCF|NOx|Infant mortality", US_national_yearly!$D:$AM, 21, FALSE) / VLOOKUP("LULUCF|NOx|Infant mortality", US_national_yearly!$D:$AM, 10, FALSE), 1)</f>
        <v>2.0133593378095458E-7</v>
      </c>
      <c r="N3" s="7">
        <f>$B3 * IFERROR(VLOOKUP("LULUCF|NOx|Infant mortality", US_national_yearly!$D:$AM, 22, FALSE) / VLOOKUP("LULUCF|NOx|Infant mortality", US_national_yearly!$D:$AM, 10, FALSE), 1)</f>
        <v>2.0035634990843738E-7</v>
      </c>
      <c r="O3" s="7">
        <f>$B3 * IFERROR(VLOOKUP("LULUCF|NOx|Infant mortality", US_national_yearly!$D:$AM, 23, FALSE) / VLOOKUP("LULUCF|NOx|Infant mortality", US_national_yearly!$D:$AM, 10, FALSE), 1)</f>
        <v>1.993767660359202E-7</v>
      </c>
      <c r="P3" s="7">
        <f>$B3 * IFERROR(VLOOKUP("LULUCF|NOx|Infant mortality", US_national_yearly!$D:$AM, 24, FALSE) / VLOOKUP("LULUCF|NOx|Infant mortality", US_national_yearly!$D:$AM, 10, FALSE), 1)</f>
        <v>1.9839718216340303E-7</v>
      </c>
      <c r="Q3" s="7">
        <f>$B3 * IFERROR(VLOOKUP("LULUCF|NOx|Infant mortality", US_national_yearly!$D:$AM, 25, FALSE) / VLOOKUP("LULUCF|NOx|Infant mortality", US_national_yearly!$D:$AM, 10, FALSE), 1)</f>
        <v>1.9741759829088586E-7</v>
      </c>
      <c r="R3" s="7">
        <f>$B3 * IFERROR(VLOOKUP("LULUCF|NOx|Infant mortality", US_national_yearly!$D:$AM, 26, FALSE) / VLOOKUP("LULUCF|NOx|Infant mortality", US_national_yearly!$D:$AM, 10, FALSE), 1)</f>
        <v>1.9643801441836868E-7</v>
      </c>
      <c r="S3" s="7">
        <f>$B3 * IFERROR(VLOOKUP("LULUCF|NOx|Infant mortality", US_national_yearly!$D:$AM, 27, FALSE) / VLOOKUP("LULUCF|NOx|Infant mortality", US_national_yearly!$D:$AM, 10, FALSE), 1)</f>
        <v>1.9526039882642797E-7</v>
      </c>
      <c r="T3" s="7">
        <f>$B3 * IFERROR(VLOOKUP("LULUCF|NOx|Infant mortality", US_national_yearly!$D:$AM, 28, FALSE) / VLOOKUP("LULUCF|NOx|Infant mortality", US_national_yearly!$D:$AM, 10, FALSE), 1)</f>
        <v>1.9408278323448729E-7</v>
      </c>
      <c r="U3" s="7">
        <f>$B3 * IFERROR(VLOOKUP("LULUCF|NOx|Infant mortality", US_national_yearly!$D:$AM, 29, FALSE) / VLOOKUP("LULUCF|NOx|Infant mortality", US_national_yearly!$D:$AM, 10, FALSE), 1)</f>
        <v>1.9290516764254658E-7</v>
      </c>
      <c r="V3" s="7">
        <f>$B3 * IFERROR(VLOOKUP("LULUCF|NOx|Infant mortality", US_national_yearly!$D:$AM, 30, FALSE) / VLOOKUP("LULUCF|NOx|Infant mortality", US_national_yearly!$D:$AM, 10, FALSE), 1)</f>
        <v>1.917275520506059E-7</v>
      </c>
      <c r="W3" s="7">
        <f>$B3 * IFERROR(VLOOKUP("LULUCF|NOx|Infant mortality", US_national_yearly!$D:$AM, 31, FALSE) / VLOOKUP("LULUCF|NOx|Infant mortality", US_national_yearly!$D:$AM, 10, FALSE), 1)</f>
        <v>1.9054993645866519E-7</v>
      </c>
      <c r="X3" s="7">
        <f>$B3 * IFERROR(VLOOKUP("LULUCF|NOx|Infant mortality", US_national_yearly!$D:$AM, 32, FALSE) / VLOOKUP("LULUCF|NOx|Infant mortality", US_national_yearly!$D:$AM, 10, FALSE), 1)</f>
        <v>1.8930278459963426E-7</v>
      </c>
      <c r="Y3" s="7">
        <f>$B3 * IFERROR(VLOOKUP("LULUCF|NOx|Infant mortality", US_national_yearly!$D:$AM, 33, FALSE) / VLOOKUP("LULUCF|NOx|Infant mortality", US_national_yearly!$D:$AM, 10, FALSE), 1)</f>
        <v>1.8805563274060327E-7</v>
      </c>
      <c r="Z3" s="7">
        <f>$B3 * IFERROR(VLOOKUP("LULUCF|NOx|Infant mortality", US_national_yearly!$D:$AM, 34, FALSE) / VLOOKUP("LULUCF|NOx|Infant mortality", US_national_yearly!$D:$AM, 10, FALSE), 1)</f>
        <v>1.8680848088157231E-7</v>
      </c>
      <c r="AA3" s="7">
        <f>$B3 * IFERROR(VLOOKUP("LULUCF|NOx|Infant mortality", US_national_yearly!$D:$AM, 35, FALSE) / VLOOKUP("LULUCF|NOx|Infant mortality", US_national_yearly!$D:$AM, 10, FALSE), 1)</f>
        <v>1.8556132902254133E-7</v>
      </c>
      <c r="AB3" s="7">
        <f>$B3 * IFERROR(VLOOKUP("LULUCF|NOx|Infant mortality", US_national_yearly!$D:$AM, 36, FALSE) / VLOOKUP("LULUCF|NOx|Infant mortality", US_national_yearly!$D:$AM, 10, FALSE), 1)</f>
        <v>1.8431417716351034E-7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5.9972080896858633E-4</v>
      </c>
      <c r="C6" s="7">
        <f>$B6 * IFERROR(VLOOKUP("LULUCF|NOx|Asthma symptoms cough", US_national_yearly!$D:$AM, 11, FALSE) / VLOOKUP("LULUCF|NOx|Asthma symptoms cough", US_national_yearly!$D:$AM, 10, FALSE), 1)</f>
        <v>6.0791997293189667E-4</v>
      </c>
      <c r="D6" s="7">
        <f>$B6 * IFERROR(VLOOKUP("LULUCF|NOx|Asthma symptoms cough", US_national_yearly!$D:$AM, 12, FALSE) / VLOOKUP("LULUCF|NOx|Asthma symptoms cough", US_national_yearly!$D:$AM, 10, FALSE), 1)</f>
        <v>6.1611913689520691E-4</v>
      </c>
      <c r="E6" s="7">
        <f>$B6 * IFERROR(VLOOKUP("LULUCF|NOx|Asthma symptoms cough", US_national_yearly!$D:$AM, 13, FALSE) / VLOOKUP("LULUCF|NOx|Asthma symptoms cough", US_national_yearly!$D:$AM, 10, FALSE), 1)</f>
        <v>6.2431830085851725E-4</v>
      </c>
      <c r="F6" s="7">
        <f>$B6 * IFERROR(VLOOKUP("LULUCF|NOx|Asthma symptoms cough", US_national_yearly!$D:$AM, 14, FALSE) / VLOOKUP("LULUCF|NOx|Asthma symptoms cough", US_national_yearly!$D:$AM, 10, FALSE), 1)</f>
        <v>6.325174648218276E-4</v>
      </c>
      <c r="G6" s="7">
        <f>$B6 * IFERROR(VLOOKUP("LULUCF|NOx|Asthma symptoms cough", US_national_yearly!$D:$AM, 15, FALSE) / VLOOKUP("LULUCF|NOx|Asthma symptoms cough", US_national_yearly!$D:$AM, 10, FALSE), 1)</f>
        <v>6.3906335149077371E-4</v>
      </c>
      <c r="H6" s="7">
        <f>$B6 * IFERROR(VLOOKUP("LULUCF|NOx|Asthma symptoms cough", US_national_yearly!$D:$AM, 16, FALSE) / VLOOKUP("LULUCF|NOx|Asthma symptoms cough", US_national_yearly!$D:$AM, 10, FALSE), 1)</f>
        <v>6.4560923815972003E-4</v>
      </c>
      <c r="I6" s="7">
        <f>$B6 * IFERROR(VLOOKUP("LULUCF|NOx|Asthma symptoms cough", US_national_yearly!$D:$AM, 17, FALSE) / VLOOKUP("LULUCF|NOx|Asthma symptoms cough", US_national_yearly!$D:$AM, 10, FALSE), 1)</f>
        <v>6.4786223877280342E-4</v>
      </c>
      <c r="J6" s="7">
        <f>$B6 * IFERROR(VLOOKUP("LULUCF|NOx|Asthma symptoms cough", US_national_yearly!$D:$AM, 18, FALSE) / VLOOKUP("LULUCF|NOx|Asthma symptoms cough", US_national_yearly!$D:$AM, 10, FALSE), 1)</f>
        <v>6.5011523938588692E-4</v>
      </c>
      <c r="K6" s="7">
        <f>$B6 * IFERROR(VLOOKUP("LULUCF|NOx|Asthma symptoms cough", US_national_yearly!$D:$AM, 19, FALSE) / VLOOKUP("LULUCF|NOx|Asthma symptoms cough", US_national_yearly!$D:$AM, 10, FALSE), 1)</f>
        <v>6.523682399989702E-4</v>
      </c>
      <c r="L6" s="7">
        <f>$B6 * IFERROR(VLOOKUP("LULUCF|NOx|Asthma symptoms cough", US_national_yearly!$D:$AM, 20, FALSE) / VLOOKUP("LULUCF|NOx|Asthma symptoms cough", US_national_yearly!$D:$AM, 10, FALSE), 1)</f>
        <v>6.5462124061205359E-4</v>
      </c>
      <c r="M6" s="7">
        <f>$B6 * IFERROR(VLOOKUP("LULUCF|NOx|Asthma symptoms cough", US_national_yearly!$D:$AM, 21, FALSE) / VLOOKUP("LULUCF|NOx|Asthma symptoms cough", US_national_yearly!$D:$AM, 10, FALSE), 1)</f>
        <v>6.5687424122513709E-4</v>
      </c>
      <c r="N6" s="7">
        <f>$B6 * IFERROR(VLOOKUP("LULUCF|NOx|Asthma symptoms cough", US_national_yearly!$D:$AM, 22, FALSE) / VLOOKUP("LULUCF|NOx|Asthma symptoms cough", US_national_yearly!$D:$AM, 10, FALSE), 1)</f>
        <v>6.5948676321081132E-4</v>
      </c>
      <c r="O6" s="7">
        <f>$B6 * IFERROR(VLOOKUP("LULUCF|NOx|Asthma symptoms cough", US_national_yearly!$D:$AM, 23, FALSE) / VLOOKUP("LULUCF|NOx|Asthma symptoms cough", US_national_yearly!$D:$AM, 10, FALSE), 1)</f>
        <v>6.6209928519648565E-4</v>
      </c>
      <c r="P6" s="7">
        <f>$B6 * IFERROR(VLOOKUP("LULUCF|NOx|Asthma symptoms cough", US_national_yearly!$D:$AM, 24, FALSE) / VLOOKUP("LULUCF|NOx|Asthma symptoms cough", US_national_yearly!$D:$AM, 10, FALSE), 1)</f>
        <v>6.6471180718215988E-4</v>
      </c>
      <c r="Q6" s="7">
        <f>$B6 * IFERROR(VLOOKUP("LULUCF|NOx|Asthma symptoms cough", US_national_yearly!$D:$AM, 25, FALSE) / VLOOKUP("LULUCF|NOx|Asthma symptoms cough", US_national_yearly!$D:$AM, 10, FALSE), 1)</f>
        <v>6.6732432916783433E-4</v>
      </c>
      <c r="R6" s="7">
        <f>$B6 * IFERROR(VLOOKUP("LULUCF|NOx|Asthma symptoms cough", US_national_yearly!$D:$AM, 26, FALSE) / VLOOKUP("LULUCF|NOx|Asthma symptoms cough", US_national_yearly!$D:$AM, 10, FALSE), 1)</f>
        <v>6.6993685115350867E-4</v>
      </c>
      <c r="S6" s="7">
        <f>$B6 * IFERROR(VLOOKUP("LULUCF|NOx|Asthma symptoms cough", US_national_yearly!$D:$AM, 27, FALSE) / VLOOKUP("LULUCF|NOx|Asthma symptoms cough", US_national_yearly!$D:$AM, 10, FALSE), 1)</f>
        <v>6.7334963694888606E-4</v>
      </c>
      <c r="T6" s="7">
        <f>$B6 * IFERROR(VLOOKUP("LULUCF|NOx|Asthma symptoms cough", US_national_yearly!$D:$AM, 28, FALSE) / VLOOKUP("LULUCF|NOx|Asthma symptoms cough", US_national_yearly!$D:$AM, 10, FALSE), 1)</f>
        <v>6.7676242274426334E-4</v>
      </c>
      <c r="U6" s="7">
        <f>$B6 * IFERROR(VLOOKUP("LULUCF|NOx|Asthma symptoms cough", US_national_yearly!$D:$AM, 29, FALSE) / VLOOKUP("LULUCF|NOx|Asthma symptoms cough", US_national_yearly!$D:$AM, 10, FALSE), 1)</f>
        <v>6.801752085396404E-4</v>
      </c>
      <c r="V6" s="7">
        <f>$B6 * IFERROR(VLOOKUP("LULUCF|NOx|Asthma symptoms cough", US_national_yearly!$D:$AM, 30, FALSE) / VLOOKUP("LULUCF|NOx|Asthma symptoms cough", US_national_yearly!$D:$AM, 10, FALSE), 1)</f>
        <v>6.8358799433501779E-4</v>
      </c>
      <c r="W6" s="7">
        <f>$B6 * IFERROR(VLOOKUP("LULUCF|NOx|Asthma symptoms cough", US_national_yearly!$D:$AM, 31, FALSE) / VLOOKUP("LULUCF|NOx|Asthma symptoms cough", US_national_yearly!$D:$AM, 10, FALSE), 1)</f>
        <v>6.8700078013039507E-4</v>
      </c>
      <c r="X6" s="7">
        <f>$B6 * IFERROR(VLOOKUP("LULUCF|NOx|Asthma symptoms cough", US_national_yearly!$D:$AM, 32, FALSE) / VLOOKUP("LULUCF|NOx|Asthma symptoms cough", US_national_yearly!$D:$AM, 10, FALSE), 1)</f>
        <v>6.9017174850229677E-4</v>
      </c>
      <c r="Y6" s="7">
        <f>$B6 * IFERROR(VLOOKUP("LULUCF|NOx|Asthma symptoms cough", US_national_yearly!$D:$AM, 33, FALSE) / VLOOKUP("LULUCF|NOx|Asthma symptoms cough", US_national_yearly!$D:$AM, 10, FALSE), 1)</f>
        <v>6.9334271687419846E-4</v>
      </c>
      <c r="Z6" s="7">
        <f>$B6 * IFERROR(VLOOKUP("LULUCF|NOx|Asthma symptoms cough", US_national_yearly!$D:$AM, 34, FALSE) / VLOOKUP("LULUCF|NOx|Asthma symptoms cough", US_national_yearly!$D:$AM, 10, FALSE), 1)</f>
        <v>6.9651368524610016E-4</v>
      </c>
      <c r="AA6" s="7">
        <f>$B6 * IFERROR(VLOOKUP("LULUCF|NOx|Asthma symptoms cough", US_national_yearly!$D:$AM, 35, FALSE) / VLOOKUP("LULUCF|NOx|Asthma symptoms cough", US_national_yearly!$D:$AM, 10, FALSE), 1)</f>
        <v>6.9968465361800174E-4</v>
      </c>
      <c r="AB6" s="7">
        <f>$B6 * IFERROR(VLOOKUP("LULUCF|NOx|Asthma symptoms cough", US_national_yearly!$D:$AM, 36, FALSE) / VLOOKUP("LULUCF|NOx|Asthma symptoms cough", US_national_yearly!$D:$AM, 10, FALSE), 1)</f>
        <v>7.0285562198990354E-4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8.0760809326728259E-4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8.186494162805741E-4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8.2969073929386539E-4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8.4073206230715679E-4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8.517733853204483E-4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8.6058833881825136E-4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8.6940329231605432E-4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8.7243727327850941E-4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8.754712542409645E-4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8.7850523520341948E-4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8.8153921616587457E-4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8.8457319712832965E-4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8.8809132399848389E-4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8.9160945086863824E-4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8.9512757773879236E-4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8.986457046089466E-4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9.0216383147910095E-4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9.0675962569950678E-4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9.1135541991991284E-4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9.1595121414031868E-4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9.2054700836072441E-4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9.2514280258113024E-4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9.2941295575828329E-4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9.3368310893543634E-4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9.379532621125896E-4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9.4222341528974265E-4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9.4649356846689559E-4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1.2338989895327129E-3</v>
      </c>
      <c r="C8" s="7">
        <f>$B8 * IFERROR(VLOOKUP("LULUCF|NOx|Asthma symptoms wheeze", US_national_yearly!$D:$AM, 11, FALSE) / VLOOKUP("LULUCF|NOx|Asthma symptoms wheeze", US_national_yearly!$D:$AM, 10, FALSE), 1)</f>
        <v>1.2507684060878792E-3</v>
      </c>
      <c r="D8" s="7">
        <f>$B8 * IFERROR(VLOOKUP("LULUCF|NOx|Asthma symptoms wheeze", US_national_yearly!$D:$AM, 12, FALSE) / VLOOKUP("LULUCF|NOx|Asthma symptoms wheeze", US_national_yearly!$D:$AM, 10, FALSE), 1)</f>
        <v>1.267637822643046E-3</v>
      </c>
      <c r="E8" s="7">
        <f>$B8 * IFERROR(VLOOKUP("LULUCF|NOx|Asthma symptoms wheeze", US_national_yearly!$D:$AM, 13, FALSE) / VLOOKUP("LULUCF|NOx|Asthma symptoms wheeze", US_national_yearly!$D:$AM, 10, FALSE), 1)</f>
        <v>1.2845072391982123E-3</v>
      </c>
      <c r="F8" s="7">
        <f>$B8 * IFERROR(VLOOKUP("LULUCF|NOx|Asthma symptoms wheeze", US_national_yearly!$D:$AM, 14, FALSE) / VLOOKUP("LULUCF|NOx|Asthma symptoms wheeze", US_national_yearly!$D:$AM, 10, FALSE), 1)</f>
        <v>1.3013766557533784E-3</v>
      </c>
      <c r="G8" s="7">
        <f>$B8 * IFERROR(VLOOKUP("LULUCF|NOx|Asthma symptoms wheeze", US_national_yearly!$D:$AM, 15, FALSE) / VLOOKUP("LULUCF|NOx|Asthma symptoms wheeze", US_national_yearly!$D:$AM, 10, FALSE), 1)</f>
        <v>1.3148445275410095E-3</v>
      </c>
      <c r="H8" s="7">
        <f>$B8 * IFERROR(VLOOKUP("LULUCF|NOx|Asthma symptoms wheeze", US_national_yearly!$D:$AM, 16, FALSE) / VLOOKUP("LULUCF|NOx|Asthma symptoms wheeze", US_national_yearly!$D:$AM, 10, FALSE), 1)</f>
        <v>1.3283123993286406E-3</v>
      </c>
      <c r="I8" s="7">
        <f>$B8 * IFERROR(VLOOKUP("LULUCF|NOx|Asthma symptoms wheeze", US_national_yearly!$D:$AM, 17, FALSE) / VLOOKUP("LULUCF|NOx|Asthma symptoms wheeze", US_national_yearly!$D:$AM, 10, FALSE), 1)</f>
        <v>1.3329478482817176E-3</v>
      </c>
      <c r="J8" s="7">
        <f>$B8 * IFERROR(VLOOKUP("LULUCF|NOx|Asthma symptoms wheeze", US_national_yearly!$D:$AM, 18, FALSE) / VLOOKUP("LULUCF|NOx|Asthma symptoms wheeze", US_national_yearly!$D:$AM, 10, FALSE), 1)</f>
        <v>1.3375832972347948E-3</v>
      </c>
      <c r="K8" s="7">
        <f>$B8 * IFERROR(VLOOKUP("LULUCF|NOx|Asthma symptoms wheeze", US_national_yearly!$D:$AM, 19, FALSE) / VLOOKUP("LULUCF|NOx|Asthma symptoms wheeze", US_national_yearly!$D:$AM, 10, FALSE), 1)</f>
        <v>1.3422187461878713E-3</v>
      </c>
      <c r="L8" s="7">
        <f>$B8 * IFERROR(VLOOKUP("LULUCF|NOx|Asthma symptoms wheeze", US_national_yearly!$D:$AM, 20, FALSE) / VLOOKUP("LULUCF|NOx|Asthma symptoms wheeze", US_national_yearly!$D:$AM, 10, FALSE), 1)</f>
        <v>1.3468541951409485E-3</v>
      </c>
      <c r="M8" s="7">
        <f>$B8 * IFERROR(VLOOKUP("LULUCF|NOx|Asthma symptoms wheeze", US_national_yearly!$D:$AM, 21, FALSE) / VLOOKUP("LULUCF|NOx|Asthma symptoms wheeze", US_national_yearly!$D:$AM, 10, FALSE), 1)</f>
        <v>1.3514896440940255E-3</v>
      </c>
      <c r="N8" s="7">
        <f>$B8 * IFERROR(VLOOKUP("LULUCF|NOx|Asthma symptoms wheeze", US_national_yearly!$D:$AM, 22, FALSE) / VLOOKUP("LULUCF|NOx|Asthma symptoms wheeze", US_national_yearly!$D:$AM, 10, FALSE), 1)</f>
        <v>1.3568647923464898E-3</v>
      </c>
      <c r="O8" s="7">
        <f>$B8 * IFERROR(VLOOKUP("LULUCF|NOx|Asthma symptoms wheeze", US_national_yearly!$D:$AM, 23, FALSE) / VLOOKUP("LULUCF|NOx|Asthma symptoms wheeze", US_national_yearly!$D:$AM, 10, FALSE), 1)</f>
        <v>1.3622399405989543E-3</v>
      </c>
      <c r="P8" s="7">
        <f>$B8 * IFERROR(VLOOKUP("LULUCF|NOx|Asthma symptoms wheeze", US_national_yearly!$D:$AM, 24, FALSE) / VLOOKUP("LULUCF|NOx|Asthma symptoms wheeze", US_national_yearly!$D:$AM, 10, FALSE), 1)</f>
        <v>1.3676150888514186E-3</v>
      </c>
      <c r="Q8" s="7">
        <f>$B8 * IFERROR(VLOOKUP("LULUCF|NOx|Asthma symptoms wheeze", US_national_yearly!$D:$AM, 25, FALSE) / VLOOKUP("LULUCF|NOx|Asthma symptoms wheeze", US_national_yearly!$D:$AM, 10, FALSE), 1)</f>
        <v>1.3729902371038833E-3</v>
      </c>
      <c r="R8" s="7">
        <f>$B8 * IFERROR(VLOOKUP("LULUCF|NOx|Asthma symptoms wheeze", US_national_yearly!$D:$AM, 26, FALSE) / VLOOKUP("LULUCF|NOx|Asthma symptoms wheeze", US_national_yearly!$D:$AM, 10, FALSE), 1)</f>
        <v>1.3783653853563476E-3</v>
      </c>
      <c r="S8" s="7">
        <f>$B8 * IFERROR(VLOOKUP("LULUCF|NOx|Asthma symptoms wheeze", US_national_yearly!$D:$AM, 27, FALSE) / VLOOKUP("LULUCF|NOx|Asthma symptoms wheeze", US_national_yearly!$D:$AM, 10, FALSE), 1)</f>
        <v>1.3853870409419394E-3</v>
      </c>
      <c r="T8" s="7">
        <f>$B8 * IFERROR(VLOOKUP("LULUCF|NOx|Asthma symptoms wheeze", US_national_yearly!$D:$AM, 28, FALSE) / VLOOKUP("LULUCF|NOx|Asthma symptoms wheeze", US_national_yearly!$D:$AM, 10, FALSE), 1)</f>
        <v>1.3924086965275311E-3</v>
      </c>
      <c r="U8" s="7">
        <f>$B8 * IFERROR(VLOOKUP("LULUCF|NOx|Asthma symptoms wheeze", US_national_yearly!$D:$AM, 29, FALSE) / VLOOKUP("LULUCF|NOx|Asthma symptoms wheeze", US_national_yearly!$D:$AM, 10, FALSE), 1)</f>
        <v>1.3994303521131228E-3</v>
      </c>
      <c r="V8" s="7">
        <f>$B8 * IFERROR(VLOOKUP("LULUCF|NOx|Asthma symptoms wheeze", US_national_yearly!$D:$AM, 30, FALSE) / VLOOKUP("LULUCF|NOx|Asthma symptoms wheeze", US_national_yearly!$D:$AM, 10, FALSE), 1)</f>
        <v>1.4064520076987148E-3</v>
      </c>
      <c r="W8" s="7">
        <f>$B8 * IFERROR(VLOOKUP("LULUCF|NOx|Asthma symptoms wheeze", US_national_yearly!$D:$AM, 31, FALSE) / VLOOKUP("LULUCF|NOx|Asthma symptoms wheeze", US_national_yearly!$D:$AM, 10, FALSE), 1)</f>
        <v>1.4134736632843063E-3</v>
      </c>
      <c r="X8" s="7">
        <f>$B8 * IFERROR(VLOOKUP("LULUCF|NOx|Asthma symptoms wheeze", US_national_yearly!$D:$AM, 32, FALSE) / VLOOKUP("LULUCF|NOx|Asthma symptoms wheeze", US_national_yearly!$D:$AM, 10, FALSE), 1)</f>
        <v>1.4199977902315331E-3</v>
      </c>
      <c r="Y8" s="7">
        <f>$B8 * IFERROR(VLOOKUP("LULUCF|NOx|Asthma symptoms wheeze", US_national_yearly!$D:$AM, 33, FALSE) / VLOOKUP("LULUCF|NOx|Asthma symptoms wheeze", US_national_yearly!$D:$AM, 10, FALSE), 1)</f>
        <v>1.4265219171787594E-3</v>
      </c>
      <c r="Z8" s="7">
        <f>$B8 * IFERROR(VLOOKUP("LULUCF|NOx|Asthma symptoms wheeze", US_national_yearly!$D:$AM, 34, FALSE) / VLOOKUP("LULUCF|NOx|Asthma symptoms wheeze", US_national_yearly!$D:$AM, 10, FALSE), 1)</f>
        <v>1.433046044125986E-3</v>
      </c>
      <c r="AA8" s="7">
        <f>$B8 * IFERROR(VLOOKUP("LULUCF|NOx|Asthma symptoms wheeze", US_national_yearly!$D:$AM, 35, FALSE) / VLOOKUP("LULUCF|NOx|Asthma symptoms wheeze", US_national_yearly!$D:$AM, 10, FALSE), 1)</f>
        <v>1.4395701710732125E-3</v>
      </c>
      <c r="AB8" s="7">
        <f>$B8 * IFERROR(VLOOKUP("LULUCF|NOx|Asthma symptoms wheeze", US_national_yearly!$D:$AM, 36, FALSE) / VLOOKUP("LULUCF|NOx|Asthma symptoms wheeze", US_national_yearly!$D:$AM, 10, FALSE), 1)</f>
        <v>1.446094298020439E-3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5.9037705597024294E-5</v>
      </c>
      <c r="C12" s="7">
        <f>$B12 * IFERROR(VLOOKUP("LULUCF|NOx|Respiratory hospital admissions", US_national_yearly!$D:$AM, 11, FALSE) / VLOOKUP("LULUCF|NOx|Respiratory hospital admissions", US_national_yearly!$D:$AM, 10, FALSE), 1)</f>
        <v>6.0510381367952424E-5</v>
      </c>
      <c r="D12" s="7">
        <f>$B12 * IFERROR(VLOOKUP("LULUCF|NOx|Respiratory hospital admissions", US_national_yearly!$D:$AM, 12, FALSE) / VLOOKUP("LULUCF|NOx|Respiratory hospital admissions", US_national_yearly!$D:$AM, 10, FALSE), 1)</f>
        <v>6.1983057138880574E-5</v>
      </c>
      <c r="E12" s="7">
        <f>$B12 * IFERROR(VLOOKUP("LULUCF|NOx|Respiratory hospital admissions", US_national_yearly!$D:$AM, 13, FALSE) / VLOOKUP("LULUCF|NOx|Respiratory hospital admissions", US_national_yearly!$D:$AM, 10, FALSE), 1)</f>
        <v>6.3455732909808711E-5</v>
      </c>
      <c r="F12" s="7">
        <f>$B12 * IFERROR(VLOOKUP("LULUCF|NOx|Respiratory hospital admissions", US_national_yearly!$D:$AM, 14, FALSE) / VLOOKUP("LULUCF|NOx|Respiratory hospital admissions", US_national_yearly!$D:$AM, 10, FALSE), 1)</f>
        <v>6.4928408680736861E-5</v>
      </c>
      <c r="G12" s="7">
        <f>$B12 * IFERROR(VLOOKUP("LULUCF|NOx|Respiratory hospital admissions", US_national_yearly!$D:$AM, 15, FALSE) / VLOOKUP("LULUCF|NOx|Respiratory hospital admissions", US_national_yearly!$D:$AM, 10, FALSE), 1)</f>
        <v>6.6336336841660897E-5</v>
      </c>
      <c r="H12" s="7">
        <f>$B12 * IFERROR(VLOOKUP("LULUCF|NOx|Respiratory hospital admissions", US_national_yearly!$D:$AM, 16, FALSE) / VLOOKUP("LULUCF|NOx|Respiratory hospital admissions", US_national_yearly!$D:$AM, 10, FALSE), 1)</f>
        <v>6.774426500258492E-5</v>
      </c>
      <c r="I12" s="7">
        <f>$B12 * IFERROR(VLOOKUP("LULUCF|NOx|Respiratory hospital admissions", US_national_yearly!$D:$AM, 17, FALSE) / VLOOKUP("LULUCF|NOx|Respiratory hospital admissions", US_national_yearly!$D:$AM, 10, FALSE), 1)</f>
        <v>6.8939624955283255E-5</v>
      </c>
      <c r="J12" s="7">
        <f>$B12 * IFERROR(VLOOKUP("LULUCF|NOx|Respiratory hospital admissions", US_national_yearly!$D:$AM, 18, FALSE) / VLOOKUP("LULUCF|NOx|Respiratory hospital admissions", US_national_yearly!$D:$AM, 10, FALSE), 1)</f>
        <v>7.0134984907981564E-5</v>
      </c>
      <c r="K12" s="7">
        <f>$B12 * IFERROR(VLOOKUP("LULUCF|NOx|Respiratory hospital admissions", US_national_yearly!$D:$AM, 19, FALSE) / VLOOKUP("LULUCF|NOx|Respiratory hospital admissions", US_national_yearly!$D:$AM, 10, FALSE), 1)</f>
        <v>7.1330344860679885E-5</v>
      </c>
      <c r="L12" s="7">
        <f>$B12 * IFERROR(VLOOKUP("LULUCF|NOx|Respiratory hospital admissions", US_national_yearly!$D:$AM, 20, FALSE) / VLOOKUP("LULUCF|NOx|Respiratory hospital admissions", US_national_yearly!$D:$AM, 10, FALSE), 1)</f>
        <v>7.2525704813378221E-5</v>
      </c>
      <c r="M12" s="7">
        <f>$B12 * IFERROR(VLOOKUP("LULUCF|NOx|Respiratory hospital admissions", US_national_yearly!$D:$AM, 21, FALSE) / VLOOKUP("LULUCF|NOx|Respiratory hospital admissions", US_national_yearly!$D:$AM, 10, FALSE), 1)</f>
        <v>7.3721064766076543E-5</v>
      </c>
      <c r="N12" s="7">
        <f>$B12 * IFERROR(VLOOKUP("LULUCF|NOx|Respiratory hospital admissions", US_national_yearly!$D:$AM, 22, FALSE) / VLOOKUP("LULUCF|NOx|Respiratory hospital admissions", US_national_yearly!$D:$AM, 10, FALSE), 1)</f>
        <v>7.4520184416384586E-5</v>
      </c>
      <c r="O12" s="7">
        <f>$B12 * IFERROR(VLOOKUP("LULUCF|NOx|Respiratory hospital admissions", US_national_yearly!$D:$AM, 23, FALSE) / VLOOKUP("LULUCF|NOx|Respiratory hospital admissions", US_national_yearly!$D:$AM, 10, FALSE), 1)</f>
        <v>7.5319304066692657E-5</v>
      </c>
      <c r="P12" s="7">
        <f>$B12 * IFERROR(VLOOKUP("LULUCF|NOx|Respiratory hospital admissions", US_national_yearly!$D:$AM, 24, FALSE) / VLOOKUP("LULUCF|NOx|Respiratory hospital admissions", US_national_yearly!$D:$AM, 10, FALSE), 1)</f>
        <v>7.61184237170007E-5</v>
      </c>
      <c r="Q12" s="7">
        <f>$B12 * IFERROR(VLOOKUP("LULUCF|NOx|Respiratory hospital admissions", US_national_yearly!$D:$AM, 25, FALSE) / VLOOKUP("LULUCF|NOx|Respiratory hospital admissions", US_national_yearly!$D:$AM, 10, FALSE), 1)</f>
        <v>7.6917543367308771E-5</v>
      </c>
      <c r="R12" s="7">
        <f>$B12 * IFERROR(VLOOKUP("LULUCF|NOx|Respiratory hospital admissions", US_national_yearly!$D:$AM, 26, FALSE) / VLOOKUP("LULUCF|NOx|Respiratory hospital admissions", US_national_yearly!$D:$AM, 10, FALSE), 1)</f>
        <v>7.7716663017616828E-5</v>
      </c>
      <c r="S12" s="7">
        <f>$B12 * IFERROR(VLOOKUP("LULUCF|NOx|Respiratory hospital admissions", US_national_yearly!$D:$AM, 27, FALSE) / VLOOKUP("LULUCF|NOx|Respiratory hospital admissions", US_national_yearly!$D:$AM, 10, FALSE), 1)</f>
        <v>7.814480967261757E-5</v>
      </c>
      <c r="T12" s="7">
        <f>$B12 * IFERROR(VLOOKUP("LULUCF|NOx|Respiratory hospital admissions", US_national_yearly!$D:$AM, 28, FALSE) / VLOOKUP("LULUCF|NOx|Respiratory hospital admissions", US_national_yearly!$D:$AM, 10, FALSE), 1)</f>
        <v>7.8572956327618325E-5</v>
      </c>
      <c r="U12" s="7">
        <f>$B12 * IFERROR(VLOOKUP("LULUCF|NOx|Respiratory hospital admissions", US_national_yearly!$D:$AM, 29, FALSE) / VLOOKUP("LULUCF|NOx|Respiratory hospital admissions", US_national_yearly!$D:$AM, 10, FALSE), 1)</f>
        <v>7.9001102982619067E-5</v>
      </c>
      <c r="V12" s="7">
        <f>$B12 * IFERROR(VLOOKUP("LULUCF|NOx|Respiratory hospital admissions", US_national_yearly!$D:$AM, 30, FALSE) / VLOOKUP("LULUCF|NOx|Respiratory hospital admissions", US_national_yearly!$D:$AM, 10, FALSE), 1)</f>
        <v>7.9429249637619795E-5</v>
      </c>
      <c r="W12" s="7">
        <f>$B12 * IFERROR(VLOOKUP("LULUCF|NOx|Respiratory hospital admissions", US_national_yearly!$D:$AM, 31, FALSE) / VLOOKUP("LULUCF|NOx|Respiratory hospital admissions", US_national_yearly!$D:$AM, 10, FALSE), 1)</f>
        <v>7.985739629262055E-5</v>
      </c>
      <c r="X12" s="7">
        <f>$B12 * IFERROR(VLOOKUP("LULUCF|NOx|Respiratory hospital admissions", US_national_yearly!$D:$AM, 32, FALSE) / VLOOKUP("LULUCF|NOx|Respiratory hospital admissions", US_national_yearly!$D:$AM, 10, FALSE), 1)</f>
        <v>8.0149978908005093E-5</v>
      </c>
      <c r="Y12" s="7">
        <f>$B12 * IFERROR(VLOOKUP("LULUCF|NOx|Respiratory hospital admissions", US_national_yearly!$D:$AM, 33, FALSE) / VLOOKUP("LULUCF|NOx|Respiratory hospital admissions", US_national_yearly!$D:$AM, 10, FALSE), 1)</f>
        <v>8.0442561523389635E-5</v>
      </c>
      <c r="Z12" s="7">
        <f>$B12 * IFERROR(VLOOKUP("LULUCF|NOx|Respiratory hospital admissions", US_national_yearly!$D:$AM, 34, FALSE) / VLOOKUP("LULUCF|NOx|Respiratory hospital admissions", US_national_yearly!$D:$AM, 10, FALSE), 1)</f>
        <v>8.0735144138774191E-5</v>
      </c>
      <c r="AA12" s="7">
        <f>$B12 * IFERROR(VLOOKUP("LULUCF|NOx|Respiratory hospital admissions", US_national_yearly!$D:$AM, 35, FALSE) / VLOOKUP("LULUCF|NOx|Respiratory hospital admissions", US_national_yearly!$D:$AM, 10, FALSE), 1)</f>
        <v>8.1027726754158734E-5</v>
      </c>
      <c r="AB12" s="7">
        <f>$B12 * IFERROR(VLOOKUP("LULUCF|NOx|Respiratory hospital admissions", US_national_yearly!$D:$AM, 36, FALSE) / VLOOKUP("LULUCF|NOx|Respiratory hospital admissions", US_national_yearly!$D:$AM, 10, FALSE), 1)</f>
        <v>8.1320309369543262E-5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3.4905448211431267E-4</v>
      </c>
      <c r="C13" s="7">
        <f>$B13 * IFERROR(VLOOKUP("LULUCF|NOx|Non-fatal heart attacks", US_national_yearly!$D:$AM, 11, FALSE) / VLOOKUP("LULUCF|NOx|Non-fatal heart attacks", US_national_yearly!$D:$AM, 10, FALSE), 1)</f>
        <v>3.5903364222134059E-4</v>
      </c>
      <c r="D13" s="7">
        <f>$B13 * IFERROR(VLOOKUP("LULUCF|NOx|Non-fatal heart attacks", US_national_yearly!$D:$AM, 12, FALSE) / VLOOKUP("LULUCF|NOx|Non-fatal heart attacks", US_national_yearly!$D:$AM, 10, FALSE), 1)</f>
        <v>3.6901280232836851E-4</v>
      </c>
      <c r="E13" s="7">
        <f>$B13 * IFERROR(VLOOKUP("LULUCF|NOx|Non-fatal heart attacks", US_national_yearly!$D:$AM, 13, FALSE) / VLOOKUP("LULUCF|NOx|Non-fatal heart attacks", US_national_yearly!$D:$AM, 10, FALSE), 1)</f>
        <v>3.7899196243539632E-4</v>
      </c>
      <c r="F13" s="7">
        <f>$B13 * IFERROR(VLOOKUP("LULUCF|NOx|Non-fatal heart attacks", US_national_yearly!$D:$AM, 14, FALSE) / VLOOKUP("LULUCF|NOx|Non-fatal heart attacks", US_national_yearly!$D:$AM, 10, FALSE), 1)</f>
        <v>3.8897112254242423E-4</v>
      </c>
      <c r="G13" s="7">
        <f>$B13 * IFERROR(VLOOKUP("LULUCF|NOx|Non-fatal heart attacks", US_national_yearly!$D:$AM, 15, FALSE) / VLOOKUP("LULUCF|NOx|Non-fatal heart attacks", US_national_yearly!$D:$AM, 10, FALSE), 1)</f>
        <v>3.9829662692228315E-4</v>
      </c>
      <c r="H13" s="7">
        <f>$B13 * IFERROR(VLOOKUP("LULUCF|NOx|Non-fatal heart attacks", US_national_yearly!$D:$AM, 16, FALSE) / VLOOKUP("LULUCF|NOx|Non-fatal heart attacks", US_national_yearly!$D:$AM, 10, FALSE), 1)</f>
        <v>4.0762213130214213E-4</v>
      </c>
      <c r="I13" s="7">
        <f>$B13 * IFERROR(VLOOKUP("LULUCF|NOx|Non-fatal heart attacks", US_national_yearly!$D:$AM, 17, FALSE) / VLOOKUP("LULUCF|NOx|Non-fatal heart attacks", US_national_yearly!$D:$AM, 10, FALSE), 1)</f>
        <v>4.1497422549872649E-4</v>
      </c>
      <c r="J13" s="7">
        <f>$B13 * IFERROR(VLOOKUP("LULUCF|NOx|Non-fatal heart attacks", US_national_yearly!$D:$AM, 18, FALSE) / VLOOKUP("LULUCF|NOx|Non-fatal heart attacks", US_national_yearly!$D:$AM, 10, FALSE), 1)</f>
        <v>4.2232631969531096E-4</v>
      </c>
      <c r="K13" s="7">
        <f>$B13 * IFERROR(VLOOKUP("LULUCF|NOx|Non-fatal heart attacks", US_national_yearly!$D:$AM, 19, FALSE) / VLOOKUP("LULUCF|NOx|Non-fatal heart attacks", US_national_yearly!$D:$AM, 10, FALSE), 1)</f>
        <v>4.2967841389189511E-4</v>
      </c>
      <c r="L13" s="7">
        <f>$B13 * IFERROR(VLOOKUP("LULUCF|NOx|Non-fatal heart attacks", US_national_yearly!$D:$AM, 20, FALSE) / VLOOKUP("LULUCF|NOx|Non-fatal heart attacks", US_national_yearly!$D:$AM, 10, FALSE), 1)</f>
        <v>4.370305080884798E-4</v>
      </c>
      <c r="M13" s="7">
        <f>$B13 * IFERROR(VLOOKUP("LULUCF|NOx|Non-fatal heart attacks", US_national_yearly!$D:$AM, 21, FALSE) / VLOOKUP("LULUCF|NOx|Non-fatal heart attacks", US_national_yearly!$D:$AM, 10, FALSE), 1)</f>
        <v>4.4438260228506411E-4</v>
      </c>
      <c r="N13" s="7">
        <f>$B13 * IFERROR(VLOOKUP("LULUCF|NOx|Non-fatal heart attacks", US_national_yearly!$D:$AM, 22, FALSE) / VLOOKUP("LULUCF|NOx|Non-fatal heart attacks", US_national_yearly!$D:$AM, 10, FALSE), 1)</f>
        <v>4.4880584511758549E-4</v>
      </c>
      <c r="O13" s="7">
        <f>$B13 * IFERROR(VLOOKUP("LULUCF|NOx|Non-fatal heart attacks", US_national_yearly!$D:$AM, 23, FALSE) / VLOOKUP("LULUCF|NOx|Non-fatal heart attacks", US_national_yearly!$D:$AM, 10, FALSE), 1)</f>
        <v>4.5322908795010681E-4</v>
      </c>
      <c r="P13" s="7">
        <f>$B13 * IFERROR(VLOOKUP("LULUCF|NOx|Non-fatal heart attacks", US_national_yearly!$D:$AM, 24, FALSE) / VLOOKUP("LULUCF|NOx|Non-fatal heart attacks", US_national_yearly!$D:$AM, 10, FALSE), 1)</f>
        <v>4.5765233078262814E-4</v>
      </c>
      <c r="Q13" s="7">
        <f>$B13 * IFERROR(VLOOKUP("LULUCF|NOx|Non-fatal heart attacks", US_national_yearly!$D:$AM, 25, FALSE) / VLOOKUP("LULUCF|NOx|Non-fatal heart attacks", US_national_yearly!$D:$AM, 10, FALSE), 1)</f>
        <v>4.6207557361514957E-4</v>
      </c>
      <c r="R13" s="7">
        <f>$B13 * IFERROR(VLOOKUP("LULUCF|NOx|Non-fatal heart attacks", US_national_yearly!$D:$AM, 26, FALSE) / VLOOKUP("LULUCF|NOx|Non-fatal heart attacks", US_national_yearly!$D:$AM, 10, FALSE), 1)</f>
        <v>4.664988164476709E-4</v>
      </c>
      <c r="S13" s="7">
        <f>$B13 * IFERROR(VLOOKUP("LULUCF|NOx|Non-fatal heart attacks", US_national_yearly!$D:$AM, 27, FALSE) / VLOOKUP("LULUCF|NOx|Non-fatal heart attacks", US_national_yearly!$D:$AM, 10, FALSE), 1)</f>
        <v>4.6850522998929554E-4</v>
      </c>
      <c r="T13" s="7">
        <f>$B13 * IFERROR(VLOOKUP("LULUCF|NOx|Non-fatal heart attacks", US_national_yearly!$D:$AM, 28, FALSE) / VLOOKUP("LULUCF|NOx|Non-fatal heart attacks", US_national_yearly!$D:$AM, 10, FALSE), 1)</f>
        <v>4.7051164353092013E-4</v>
      </c>
      <c r="U13" s="7">
        <f>$B13 * IFERROR(VLOOKUP("LULUCF|NOx|Non-fatal heart attacks", US_national_yearly!$D:$AM, 29, FALSE) / VLOOKUP("LULUCF|NOx|Non-fatal heart attacks", US_national_yearly!$D:$AM, 10, FALSE), 1)</f>
        <v>4.7251805707254477E-4</v>
      </c>
      <c r="V13" s="7">
        <f>$B13 * IFERROR(VLOOKUP("LULUCF|NOx|Non-fatal heart attacks", US_national_yearly!$D:$AM, 30, FALSE) / VLOOKUP("LULUCF|NOx|Non-fatal heart attacks", US_national_yearly!$D:$AM, 10, FALSE), 1)</f>
        <v>4.7452447061416936E-4</v>
      </c>
      <c r="W13" s="7">
        <f>$B13 * IFERROR(VLOOKUP("LULUCF|NOx|Non-fatal heart attacks", US_national_yearly!$D:$AM, 31, FALSE) / VLOOKUP("LULUCF|NOx|Non-fatal heart attacks", US_national_yearly!$D:$AM, 10, FALSE), 1)</f>
        <v>4.7653088415579401E-4</v>
      </c>
      <c r="X13" s="7">
        <f>$B13 * IFERROR(VLOOKUP("LULUCF|NOx|Non-fatal heart attacks", US_national_yearly!$D:$AM, 32, FALSE) / VLOOKUP("LULUCF|NOx|Non-fatal heart attacks", US_national_yearly!$D:$AM, 10, FALSE), 1)</f>
        <v>4.7787167525819766E-4</v>
      </c>
      <c r="Y13" s="7">
        <f>$B13 * IFERROR(VLOOKUP("LULUCF|NOx|Non-fatal heart attacks", US_national_yearly!$D:$AM, 33, FALSE) / VLOOKUP("LULUCF|NOx|Non-fatal heart attacks", US_national_yearly!$D:$AM, 10, FALSE), 1)</f>
        <v>4.7921246636060141E-4</v>
      </c>
      <c r="Z13" s="7">
        <f>$B13 * IFERROR(VLOOKUP("LULUCF|NOx|Non-fatal heart attacks", US_national_yearly!$D:$AM, 34, FALSE) / VLOOKUP("LULUCF|NOx|Non-fatal heart attacks", US_national_yearly!$D:$AM, 10, FALSE), 1)</f>
        <v>4.8055325746300501E-4</v>
      </c>
      <c r="AA13" s="7">
        <f>$B13 * IFERROR(VLOOKUP("LULUCF|NOx|Non-fatal heart attacks", US_national_yearly!$D:$AM, 35, FALSE) / VLOOKUP("LULUCF|NOx|Non-fatal heart attacks", US_national_yearly!$D:$AM, 10, FALSE), 1)</f>
        <v>4.8189404856540866E-4</v>
      </c>
      <c r="AB13" s="7">
        <f>$B13 * IFERROR(VLOOKUP("LULUCF|NOx|Non-fatal heart attacks", US_national_yearly!$D:$AM, 36, FALSE) / VLOOKUP("LULUCF|NOx|Non-fatal heart attacks", US_national_yearly!$D:$AM, 10, FALSE), 1)</f>
        <v>4.8323483966781236E-4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7.518302101263527E-2</v>
      </c>
      <c r="C14" s="7">
        <f>$B14 * IFERROR(VLOOKUP("LULUCF|NOx|Minor restricted activity days", US_national_yearly!$D:$AM, 11, FALSE) / VLOOKUP("LULUCF|NOx|Minor restricted activity days", US_national_yearly!$D:$AM, 10, FALSE), 1)</f>
        <v>7.5298289200958657E-2</v>
      </c>
      <c r="D14" s="7">
        <f>$B14 * IFERROR(VLOOKUP("LULUCF|NOx|Minor restricted activity days", US_national_yearly!$D:$AM, 12, FALSE) / VLOOKUP("LULUCF|NOx|Minor restricted activity days", US_national_yearly!$D:$AM, 10, FALSE), 1)</f>
        <v>7.5413557389282043E-2</v>
      </c>
      <c r="E14" s="7">
        <f>$B14 * IFERROR(VLOOKUP("LULUCF|NOx|Minor restricted activity days", US_national_yearly!$D:$AM, 13, FALSE) / VLOOKUP("LULUCF|NOx|Minor restricted activity days", US_national_yearly!$D:$AM, 10, FALSE), 1)</f>
        <v>7.5528825577605443E-2</v>
      </c>
      <c r="F14" s="7">
        <f>$B14 * IFERROR(VLOOKUP("LULUCF|NOx|Minor restricted activity days", US_national_yearly!$D:$AM, 14, FALSE) / VLOOKUP("LULUCF|NOx|Minor restricted activity days", US_national_yearly!$D:$AM, 10, FALSE), 1)</f>
        <v>7.5644093765928816E-2</v>
      </c>
      <c r="G14" s="7">
        <f>$B14 * IFERROR(VLOOKUP("LULUCF|NOx|Minor restricted activity days", US_national_yearly!$D:$AM, 15, FALSE) / VLOOKUP("LULUCF|NOx|Minor restricted activity days", US_national_yearly!$D:$AM, 10, FALSE), 1)</f>
        <v>7.5852240677854482E-2</v>
      </c>
      <c r="H14" s="7">
        <f>$B14 * IFERROR(VLOOKUP("LULUCF|NOx|Minor restricted activity days", US_national_yearly!$D:$AM, 16, FALSE) / VLOOKUP("LULUCF|NOx|Minor restricted activity days", US_national_yearly!$D:$AM, 10, FALSE), 1)</f>
        <v>7.6060387589780121E-2</v>
      </c>
      <c r="I14" s="7">
        <f>$B14 * IFERROR(VLOOKUP("LULUCF|NOx|Minor restricted activity days", US_national_yearly!$D:$AM, 17, FALSE) / VLOOKUP("LULUCF|NOx|Minor restricted activity days", US_national_yearly!$D:$AM, 10, FALSE), 1)</f>
        <v>7.6467514718526114E-2</v>
      </c>
      <c r="J14" s="7">
        <f>$B14 * IFERROR(VLOOKUP("LULUCF|NOx|Minor restricted activity days", US_national_yearly!$D:$AM, 18, FALSE) / VLOOKUP("LULUCF|NOx|Minor restricted activity days", US_national_yearly!$D:$AM, 10, FALSE), 1)</f>
        <v>7.6874641847272079E-2</v>
      </c>
      <c r="K14" s="7">
        <f>$B14 * IFERROR(VLOOKUP("LULUCF|NOx|Minor restricted activity days", US_national_yearly!$D:$AM, 19, FALSE) / VLOOKUP("LULUCF|NOx|Minor restricted activity days", US_national_yearly!$D:$AM, 10, FALSE), 1)</f>
        <v>7.7281768976018059E-2</v>
      </c>
      <c r="L14" s="7">
        <f>$B14 * IFERROR(VLOOKUP("LULUCF|NOx|Minor restricted activity days", US_national_yearly!$D:$AM, 20, FALSE) / VLOOKUP("LULUCF|NOx|Minor restricted activity days", US_national_yearly!$D:$AM, 10, FALSE), 1)</f>
        <v>7.7688896104764024E-2</v>
      </c>
      <c r="M14" s="7">
        <f>$B14 * IFERROR(VLOOKUP("LULUCF|NOx|Minor restricted activity days", US_national_yearly!$D:$AM, 21, FALSE) / VLOOKUP("LULUCF|NOx|Minor restricted activity days", US_national_yearly!$D:$AM, 10, FALSE), 1)</f>
        <v>7.8096023233510017E-2</v>
      </c>
      <c r="N14" s="7">
        <f>$B14 * IFERROR(VLOOKUP("LULUCF|NOx|Minor restricted activity days", US_national_yearly!$D:$AM, 22, FALSE) / VLOOKUP("LULUCF|NOx|Minor restricted activity days", US_national_yearly!$D:$AM, 10, FALSE), 1)</f>
        <v>7.8678936967797292E-2</v>
      </c>
      <c r="O14" s="7">
        <f>$B14 * IFERROR(VLOOKUP("LULUCF|NOx|Minor restricted activity days", US_national_yearly!$D:$AM, 23, FALSE) / VLOOKUP("LULUCF|NOx|Minor restricted activity days", US_national_yearly!$D:$AM, 10, FALSE), 1)</f>
        <v>7.9261850702084566E-2</v>
      </c>
      <c r="P14" s="7">
        <f>$B14 * IFERROR(VLOOKUP("LULUCF|NOx|Minor restricted activity days", US_national_yearly!$D:$AM, 24, FALSE) / VLOOKUP("LULUCF|NOx|Minor restricted activity days", US_national_yearly!$D:$AM, 10, FALSE), 1)</f>
        <v>7.9844764436371826E-2</v>
      </c>
      <c r="Q14" s="7">
        <f>$B14 * IFERROR(VLOOKUP("LULUCF|NOx|Minor restricted activity days", US_national_yearly!$D:$AM, 25, FALSE) / VLOOKUP("LULUCF|NOx|Minor restricted activity days", US_national_yearly!$D:$AM, 10, FALSE), 1)</f>
        <v>8.04276781706591E-2</v>
      </c>
      <c r="R14" s="7">
        <f>$B14 * IFERROR(VLOOKUP("LULUCF|NOx|Minor restricted activity days", US_national_yearly!$D:$AM, 26, FALSE) / VLOOKUP("LULUCF|NOx|Minor restricted activity days", US_national_yearly!$D:$AM, 10, FALSE), 1)</f>
        <v>8.1010591904946375E-2</v>
      </c>
      <c r="S14" s="7">
        <f>$B14 * IFERROR(VLOOKUP("LULUCF|NOx|Minor restricted activity days", US_national_yearly!$D:$AM, 27, FALSE) / VLOOKUP("LULUCF|NOx|Minor restricted activity days", US_national_yearly!$D:$AM, 10, FALSE), 1)</f>
        <v>8.1593383082868648E-2</v>
      </c>
      <c r="T14" s="7">
        <f>$B14 * IFERROR(VLOOKUP("LULUCF|NOx|Minor restricted activity days", US_national_yearly!$D:$AM, 28, FALSE) / VLOOKUP("LULUCF|NOx|Minor restricted activity days", US_national_yearly!$D:$AM, 10, FALSE), 1)</f>
        <v>8.2176174260790907E-2</v>
      </c>
      <c r="U14" s="7">
        <f>$B14 * IFERROR(VLOOKUP("LULUCF|NOx|Minor restricted activity days", US_national_yearly!$D:$AM, 29, FALSE) / VLOOKUP("LULUCF|NOx|Minor restricted activity days", US_national_yearly!$D:$AM, 10, FALSE), 1)</f>
        <v>8.2758965438713181E-2</v>
      </c>
      <c r="V14" s="7">
        <f>$B14 * IFERROR(VLOOKUP("LULUCF|NOx|Minor restricted activity days", US_national_yearly!$D:$AM, 30, FALSE) / VLOOKUP("LULUCF|NOx|Minor restricted activity days", US_national_yearly!$D:$AM, 10, FALSE), 1)</f>
        <v>8.3341756616635454E-2</v>
      </c>
      <c r="W14" s="7">
        <f>$B14 * IFERROR(VLOOKUP("LULUCF|NOx|Minor restricted activity days", US_national_yearly!$D:$AM, 31, FALSE) / VLOOKUP("LULUCF|NOx|Minor restricted activity days", US_national_yearly!$D:$AM, 10, FALSE), 1)</f>
        <v>8.3924547794557713E-2</v>
      </c>
      <c r="X14" s="7">
        <f>$B14 * IFERROR(VLOOKUP("LULUCF|NOx|Minor restricted activity days", US_national_yearly!$D:$AM, 32, FALSE) / VLOOKUP("LULUCF|NOx|Minor restricted activity days", US_national_yearly!$D:$AM, 10, FALSE), 1)</f>
        <v>8.4417275533577432E-2</v>
      </c>
      <c r="Y14" s="7">
        <f>$B14 * IFERROR(VLOOKUP("LULUCF|NOx|Minor restricted activity days", US_national_yearly!$D:$AM, 33, FALSE) / VLOOKUP("LULUCF|NOx|Minor restricted activity days", US_national_yearly!$D:$AM, 10, FALSE), 1)</f>
        <v>8.4910003272597151E-2</v>
      </c>
      <c r="Z14" s="7">
        <f>$B14 * IFERROR(VLOOKUP("LULUCF|NOx|Minor restricted activity days", US_national_yearly!$D:$AM, 34, FALSE) / VLOOKUP("LULUCF|NOx|Minor restricted activity days", US_national_yearly!$D:$AM, 10, FALSE), 1)</f>
        <v>8.540273101161687E-2</v>
      </c>
      <c r="AA14" s="7">
        <f>$B14 * IFERROR(VLOOKUP("LULUCF|NOx|Minor restricted activity days", US_national_yearly!$D:$AM, 35, FALSE) / VLOOKUP("LULUCF|NOx|Minor restricted activity days", US_national_yearly!$D:$AM, 10, FALSE), 1)</f>
        <v>8.5895458750636589E-2</v>
      </c>
      <c r="AB14" s="7">
        <f>$B14 * IFERROR(VLOOKUP("LULUCF|NOx|Minor restricted activity days", US_national_yearly!$D:$AM, 36, FALSE) / VLOOKUP("LULUCF|NOx|Minor restricted activity days", US_national_yearly!$D:$AM, 10, FALSE), 1)</f>
        <v>8.6388186489656307E-2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1.2691952528793101E-2</v>
      </c>
      <c r="C15" s="7">
        <f>$B15 * IFERROR(VLOOKUP("LULUCF|NOx|Work loss days", US_national_yearly!$D:$AM, 11, FALSE) / VLOOKUP("LULUCF|NOx|Work loss days", US_national_yearly!$D:$AM, 10, FALSE), 1)</f>
        <v>1.2720185094409486E-2</v>
      </c>
      <c r="D15" s="7">
        <f>$B15 * IFERROR(VLOOKUP("LULUCF|NOx|Work loss days", US_national_yearly!$D:$AM, 12, FALSE) / VLOOKUP("LULUCF|NOx|Work loss days", US_national_yearly!$D:$AM, 10, FALSE), 1)</f>
        <v>1.2748417660025872E-2</v>
      </c>
      <c r="E15" s="7">
        <f>$B15 * IFERROR(VLOOKUP("LULUCF|NOx|Work loss days", US_national_yearly!$D:$AM, 13, FALSE) / VLOOKUP("LULUCF|NOx|Work loss days", US_national_yearly!$D:$AM, 10, FALSE), 1)</f>
        <v>1.2776650225642257E-2</v>
      </c>
      <c r="F15" s="7">
        <f>$B15 * IFERROR(VLOOKUP("LULUCF|NOx|Work loss days", US_national_yearly!$D:$AM, 14, FALSE) / VLOOKUP("LULUCF|NOx|Work loss days", US_national_yearly!$D:$AM, 10, FALSE), 1)</f>
        <v>1.2804882791258644E-2</v>
      </c>
      <c r="G15" s="7">
        <f>$B15 * IFERROR(VLOOKUP("LULUCF|NOx|Work loss days", US_national_yearly!$D:$AM, 15, FALSE) / VLOOKUP("LULUCF|NOx|Work loss days", US_national_yearly!$D:$AM, 10, FALSE), 1)</f>
        <v>1.2846102577894886E-2</v>
      </c>
      <c r="H15" s="7">
        <f>$B15 * IFERROR(VLOOKUP("LULUCF|NOx|Work loss days", US_national_yearly!$D:$AM, 16, FALSE) / VLOOKUP("LULUCF|NOx|Work loss days", US_national_yearly!$D:$AM, 10, FALSE), 1)</f>
        <v>1.2887322364531132E-2</v>
      </c>
      <c r="I15" s="7">
        <f>$B15 * IFERROR(VLOOKUP("LULUCF|NOx|Work loss days", US_national_yearly!$D:$AM, 17, FALSE) / VLOOKUP("LULUCF|NOx|Work loss days", US_national_yearly!$D:$AM, 10, FALSE), 1)</f>
        <v>1.2954096184925356E-2</v>
      </c>
      <c r="J15" s="7">
        <f>$B15 * IFERROR(VLOOKUP("LULUCF|NOx|Work loss days", US_national_yearly!$D:$AM, 18, FALSE) / VLOOKUP("LULUCF|NOx|Work loss days", US_national_yearly!$D:$AM, 10, FALSE), 1)</f>
        <v>1.3020870005319584E-2</v>
      </c>
      <c r="K15" s="7">
        <f>$B15 * IFERROR(VLOOKUP("LULUCF|NOx|Work loss days", US_national_yearly!$D:$AM, 19, FALSE) / VLOOKUP("LULUCF|NOx|Work loss days", US_national_yearly!$D:$AM, 10, FALSE), 1)</f>
        <v>1.3087643825713809E-2</v>
      </c>
      <c r="L15" s="7">
        <f>$B15 * IFERROR(VLOOKUP("LULUCF|NOx|Work loss days", US_national_yearly!$D:$AM, 20, FALSE) / VLOOKUP("LULUCF|NOx|Work loss days", US_national_yearly!$D:$AM, 10, FALSE), 1)</f>
        <v>1.3154417646108033E-2</v>
      </c>
      <c r="M15" s="7">
        <f>$B15 * IFERROR(VLOOKUP("LULUCF|NOx|Work loss days", US_national_yearly!$D:$AM, 21, FALSE) / VLOOKUP("LULUCF|NOx|Work loss days", US_national_yearly!$D:$AM, 10, FALSE), 1)</f>
        <v>1.3221191466502262E-2</v>
      </c>
      <c r="N15" s="7">
        <f>$B15 * IFERROR(VLOOKUP("LULUCF|NOx|Work loss days", US_national_yearly!$D:$AM, 22, FALSE) / VLOOKUP("LULUCF|NOx|Work loss days", US_national_yearly!$D:$AM, 10, FALSE), 1)</f>
        <v>1.3308093496321215E-2</v>
      </c>
      <c r="O15" s="7">
        <f>$B15 * IFERROR(VLOOKUP("LULUCF|NOx|Work loss days", US_national_yearly!$D:$AM, 23, FALSE) / VLOOKUP("LULUCF|NOx|Work loss days", US_national_yearly!$D:$AM, 10, FALSE), 1)</f>
        <v>1.3394995526140168E-2</v>
      </c>
      <c r="P15" s="7">
        <f>$B15 * IFERROR(VLOOKUP("LULUCF|NOx|Work loss days", US_national_yearly!$D:$AM, 24, FALSE) / VLOOKUP("LULUCF|NOx|Work loss days", US_national_yearly!$D:$AM, 10, FALSE), 1)</f>
        <v>1.348189755595912E-2</v>
      </c>
      <c r="Q15" s="7">
        <f>$B15 * IFERROR(VLOOKUP("LULUCF|NOx|Work loss days", US_national_yearly!$D:$AM, 25, FALSE) / VLOOKUP("LULUCF|NOx|Work loss days", US_national_yearly!$D:$AM, 10, FALSE), 1)</f>
        <v>1.3568799585778071E-2</v>
      </c>
      <c r="R15" s="7">
        <f>$B15 * IFERROR(VLOOKUP("LULUCF|NOx|Work loss days", US_national_yearly!$D:$AM, 26, FALSE) / VLOOKUP("LULUCF|NOx|Work loss days", US_national_yearly!$D:$AM, 10, FALSE), 1)</f>
        <v>1.3655701615597027E-2</v>
      </c>
      <c r="S15" s="7">
        <f>$B15 * IFERROR(VLOOKUP("LULUCF|NOx|Work loss days", US_national_yearly!$D:$AM, 27, FALSE) / VLOOKUP("LULUCF|NOx|Work loss days", US_national_yearly!$D:$AM, 10, FALSE), 1)</f>
        <v>1.3752586267377416E-2</v>
      </c>
      <c r="T15" s="7">
        <f>$B15 * IFERROR(VLOOKUP("LULUCF|NOx|Work loss days", US_national_yearly!$D:$AM, 28, FALSE) / VLOOKUP("LULUCF|NOx|Work loss days", US_national_yearly!$D:$AM, 10, FALSE), 1)</f>
        <v>1.3849470919157805E-2</v>
      </c>
      <c r="U15" s="7">
        <f>$B15 * IFERROR(VLOOKUP("LULUCF|NOx|Work loss days", US_national_yearly!$D:$AM, 29, FALSE) / VLOOKUP("LULUCF|NOx|Work loss days", US_national_yearly!$D:$AM, 10, FALSE), 1)</f>
        <v>1.394635557093819E-2</v>
      </c>
      <c r="V15" s="7">
        <f>$B15 * IFERROR(VLOOKUP("LULUCF|NOx|Work loss days", US_national_yearly!$D:$AM, 30, FALSE) / VLOOKUP("LULUCF|NOx|Work loss days", US_national_yearly!$D:$AM, 10, FALSE), 1)</f>
        <v>1.4043240222718578E-2</v>
      </c>
      <c r="W15" s="7">
        <f>$B15 * IFERROR(VLOOKUP("LULUCF|NOx|Work loss days", US_national_yearly!$D:$AM, 31, FALSE) / VLOOKUP("LULUCF|NOx|Work loss days", US_national_yearly!$D:$AM, 10, FALSE), 1)</f>
        <v>1.4140124874498967E-2</v>
      </c>
      <c r="X15" s="7">
        <f>$B15 * IFERROR(VLOOKUP("LULUCF|NOx|Work loss days", US_national_yearly!$D:$AM, 32, FALSE) / VLOOKUP("LULUCF|NOx|Work loss days", US_national_yearly!$D:$AM, 10, FALSE), 1)</f>
        <v>1.42242155866705E-2</v>
      </c>
      <c r="Y15" s="7">
        <f>$B15 * IFERROR(VLOOKUP("LULUCF|NOx|Work loss days", US_national_yearly!$D:$AM, 33, FALSE) / VLOOKUP("LULUCF|NOx|Work loss days", US_national_yearly!$D:$AM, 10, FALSE), 1)</f>
        <v>1.4308306298842033E-2</v>
      </c>
      <c r="Z15" s="7">
        <f>$B15 * IFERROR(VLOOKUP("LULUCF|NOx|Work loss days", US_national_yearly!$D:$AM, 34, FALSE) / VLOOKUP("LULUCF|NOx|Work loss days", US_national_yearly!$D:$AM, 10, FALSE), 1)</f>
        <v>1.4392397011013565E-2</v>
      </c>
      <c r="AA15" s="7">
        <f>$B15 * IFERROR(VLOOKUP("LULUCF|NOx|Work loss days", US_national_yearly!$D:$AM, 35, FALSE) / VLOOKUP("LULUCF|NOx|Work loss days", US_national_yearly!$D:$AM, 10, FALSE), 1)</f>
        <v>1.4476487723185097E-2</v>
      </c>
      <c r="AB15" s="7">
        <f>$B15 * IFERROR(VLOOKUP("LULUCF|NOx|Work loss days", US_national_yearly!$D:$AM, 36, FALSE) / VLOOKUP("LULUCF|NOx|Work loss days", US_national_yearly!$D:$AM, 10, FALSE), 1)</f>
        <v>1.4560578435356629E-2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8.6411613774569794E-5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8.8950787221364776E-5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9.1489960668159745E-5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9.4029134114954714E-5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9.6568307561749697E-5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9.8980102421415618E-5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1.0139189728108155E-4</v>
      </c>
      <c r="I17" s="7">
        <f>$B17 * IFERROR(VLOOKUP("LULUCF|NOx|Cardiovascular hospital admissions", US_national_yearly!$D:$AM, 17, FALSE) / VLOOKUP("LULUCF|NOx|Cardiovascular hospital admissions", US_national_yearly!$D:$AM, 10, FALSE), 1)</f>
        <v>1.0342003069858897E-4</v>
      </c>
      <c r="J17" s="7">
        <f>$B17 * IFERROR(VLOOKUP("LULUCF|NOx|Cardiovascular hospital admissions", US_national_yearly!$D:$AM, 18, FALSE) / VLOOKUP("LULUCF|NOx|Cardiovascular hospital admissions", US_national_yearly!$D:$AM, 10, FALSE), 1)</f>
        <v>1.0544816411609637E-4</v>
      </c>
      <c r="K17" s="7">
        <f>$B17 * IFERROR(VLOOKUP("LULUCF|NOx|Cardiovascular hospital admissions", US_national_yearly!$D:$AM, 19, FALSE) / VLOOKUP("LULUCF|NOx|Cardiovascular hospital admissions", US_national_yearly!$D:$AM, 10, FALSE), 1)</f>
        <v>1.0747629753360378E-4</v>
      </c>
      <c r="L17" s="7">
        <f>$B17 * IFERROR(VLOOKUP("LULUCF|NOx|Cardiovascular hospital admissions", US_national_yearly!$D:$AM, 20, FALSE) / VLOOKUP("LULUCF|NOx|Cardiovascular hospital admissions", US_national_yearly!$D:$AM, 10, FALSE), 1)</f>
        <v>1.0950443095111118E-4</v>
      </c>
      <c r="M17" s="7">
        <f>$B17 * IFERROR(VLOOKUP("LULUCF|NOx|Cardiovascular hospital admissions", US_national_yearly!$D:$AM, 21, FALSE) / VLOOKUP("LULUCF|NOx|Cardiovascular hospital admissions", US_national_yearly!$D:$AM, 10, FALSE), 1)</f>
        <v>1.1153256436861861E-4</v>
      </c>
      <c r="N17" s="7">
        <f>$B17 * IFERROR(VLOOKUP("LULUCF|NOx|Cardiovascular hospital admissions", US_national_yearly!$D:$AM, 22, FALSE) / VLOOKUP("LULUCF|NOx|Cardiovascular hospital admissions", US_national_yearly!$D:$AM, 10, FALSE), 1)</f>
        <v>1.1280082339635239E-4</v>
      </c>
      <c r="O17" s="7">
        <f>$B17 * IFERROR(VLOOKUP("LULUCF|NOx|Cardiovascular hospital admissions", US_national_yearly!$D:$AM, 23, FALSE) / VLOOKUP("LULUCF|NOx|Cardiovascular hospital admissions", US_national_yearly!$D:$AM, 10, FALSE), 1)</f>
        <v>1.140690824240862E-4</v>
      </c>
      <c r="P17" s="7">
        <f>$B17 * IFERROR(VLOOKUP("LULUCF|NOx|Cardiovascular hospital admissions", US_national_yearly!$D:$AM, 24, FALSE) / VLOOKUP("LULUCF|NOx|Cardiovascular hospital admissions", US_national_yearly!$D:$AM, 10, FALSE), 1)</f>
        <v>1.1533734145181999E-4</v>
      </c>
      <c r="Q17" s="7">
        <f>$B17 * IFERROR(VLOOKUP("LULUCF|NOx|Cardiovascular hospital admissions", US_national_yearly!$D:$AM, 25, FALSE) / VLOOKUP("LULUCF|NOx|Cardiovascular hospital admissions", US_national_yearly!$D:$AM, 10, FALSE), 1)</f>
        <v>1.166056004795538E-4</v>
      </c>
      <c r="R17" s="7">
        <f>$B17 * IFERROR(VLOOKUP("LULUCF|NOx|Cardiovascular hospital admissions", US_national_yearly!$D:$AM, 26, FALSE) / VLOOKUP("LULUCF|NOx|Cardiovascular hospital admissions", US_national_yearly!$D:$AM, 10, FALSE), 1)</f>
        <v>1.1787385950728758E-4</v>
      </c>
      <c r="S17" s="7">
        <f>$B17 * IFERROR(VLOOKUP("LULUCF|NOx|Cardiovascular hospital admissions", US_national_yearly!$D:$AM, 27, FALSE) / VLOOKUP("LULUCF|NOx|Cardiovascular hospital admissions", US_national_yearly!$D:$AM, 10, FALSE), 1)</f>
        <v>1.1845253127463997E-4</v>
      </c>
      <c r="T17" s="7">
        <f>$B17 * IFERROR(VLOOKUP("LULUCF|NOx|Cardiovascular hospital admissions", US_national_yearly!$D:$AM, 28, FALSE) / VLOOKUP("LULUCF|NOx|Cardiovascular hospital admissions", US_national_yearly!$D:$AM, 10, FALSE), 1)</f>
        <v>1.1903120304199235E-4</v>
      </c>
      <c r="U17" s="7">
        <f>$B17 * IFERROR(VLOOKUP("LULUCF|NOx|Cardiovascular hospital admissions", US_national_yearly!$D:$AM, 29, FALSE) / VLOOKUP("LULUCF|NOx|Cardiovascular hospital admissions", US_national_yearly!$D:$AM, 10, FALSE), 1)</f>
        <v>1.1960987480934471E-4</v>
      </c>
      <c r="V17" s="7">
        <f>$B17 * IFERROR(VLOOKUP("LULUCF|NOx|Cardiovascular hospital admissions", US_national_yearly!$D:$AM, 30, FALSE) / VLOOKUP("LULUCF|NOx|Cardiovascular hospital admissions", US_national_yearly!$D:$AM, 10, FALSE), 1)</f>
        <v>1.2018854657669709E-4</v>
      </c>
      <c r="W17" s="7">
        <f>$B17 * IFERROR(VLOOKUP("LULUCF|NOx|Cardiovascular hospital admissions", US_national_yearly!$D:$AM, 31, FALSE) / VLOOKUP("LULUCF|NOx|Cardiovascular hospital admissions", US_national_yearly!$D:$AM, 10, FALSE), 1)</f>
        <v>1.2076721834404947E-4</v>
      </c>
      <c r="X17" s="7">
        <f>$B17 * IFERROR(VLOOKUP("LULUCF|NOx|Cardiovascular hospital admissions", US_national_yearly!$D:$AM, 32, FALSE) / VLOOKUP("LULUCF|NOx|Cardiovascular hospital admissions", US_national_yearly!$D:$AM, 10, FALSE), 1)</f>
        <v>1.2108926924490836E-4</v>
      </c>
      <c r="Y17" s="7">
        <f>$B17 * IFERROR(VLOOKUP("LULUCF|NOx|Cardiovascular hospital admissions", US_national_yearly!$D:$AM, 33, FALSE) / VLOOKUP("LULUCF|NOx|Cardiovascular hospital admissions", US_national_yearly!$D:$AM, 10, FALSE), 1)</f>
        <v>1.2141132014576726E-4</v>
      </c>
      <c r="Z17" s="7">
        <f>$B17 * IFERROR(VLOOKUP("LULUCF|NOx|Cardiovascular hospital admissions", US_national_yearly!$D:$AM, 34, FALSE) / VLOOKUP("LULUCF|NOx|Cardiovascular hospital admissions", US_national_yearly!$D:$AM, 10, FALSE), 1)</f>
        <v>1.2173337104662614E-4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1.2205542194748505E-4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1.2237747284834393E-4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2.9022760702458516E-4</v>
      </c>
      <c r="C2" s="7">
        <f>$B2 * IFERROR(VLOOKUP("LULUCF|SO2|Premature mortality", US_national_yearly!$D:$AM, 11, FALSE) / VLOOKUP("LULUCF|SO2|Premature mortality", US_national_yearly!$D:$AM, 10, FALSE), 1)</f>
        <v>2.9390318263571654E-4</v>
      </c>
      <c r="D2" s="7">
        <f>$B2 * IFERROR(VLOOKUP("LULUCF|SO2|Premature mortality", US_national_yearly!$D:$AM, 12, FALSE) / VLOOKUP("LULUCF|SO2|Premature mortality", US_national_yearly!$D:$AM, 10, FALSE), 1)</f>
        <v>2.9757875824684791E-4</v>
      </c>
      <c r="E2" s="7">
        <f>$B2 * IFERROR(VLOOKUP("LULUCF|SO2|Premature mortality", US_national_yearly!$D:$AM, 13, FALSE) / VLOOKUP("LULUCF|SO2|Premature mortality", US_national_yearly!$D:$AM, 10, FALSE), 1)</f>
        <v>3.0125433385797928E-4</v>
      </c>
      <c r="F2" s="7">
        <f>$B2 * IFERROR(VLOOKUP("LULUCF|SO2|Premature mortality", US_national_yearly!$D:$AM, 14, FALSE) / VLOOKUP("LULUCF|SO2|Premature mortality", US_national_yearly!$D:$AM, 10, FALSE), 1)</f>
        <v>3.049299094691106E-4</v>
      </c>
      <c r="G2" s="7">
        <f>$B2 * IFERROR(VLOOKUP("LULUCF|SO2|Premature mortality", US_national_yearly!$D:$AM, 15, FALSE) / VLOOKUP("LULUCF|SO2|Premature mortality", US_national_yearly!$D:$AM, 10, FALSE), 1)</f>
        <v>3.1201253536273349E-4</v>
      </c>
      <c r="H2" s="7">
        <f>$B2 * IFERROR(VLOOKUP("LULUCF|SO2|Premature mortality", US_national_yearly!$D:$AM, 16, FALSE) / VLOOKUP("LULUCF|SO2|Premature mortality", US_national_yearly!$D:$AM, 10, FALSE), 1)</f>
        <v>3.1909516125635628E-4</v>
      </c>
      <c r="I2" s="7">
        <f>$B2 * IFERROR(VLOOKUP("LULUCF|SO2|Premature mortality", US_national_yearly!$D:$AM, 17, FALSE) / VLOOKUP("LULUCF|SO2|Premature mortality", US_national_yearly!$D:$AM, 10, FALSE), 1)</f>
        <v>3.2377579442781883E-4</v>
      </c>
      <c r="J2" s="7">
        <f>$B2 * IFERROR(VLOOKUP("LULUCF|SO2|Premature mortality", US_national_yearly!$D:$AM, 18, FALSE) / VLOOKUP("LULUCF|SO2|Premature mortality", US_national_yearly!$D:$AM, 10, FALSE), 1)</f>
        <v>3.2845642759928142E-4</v>
      </c>
      <c r="K2" s="7">
        <f>$B2 * IFERROR(VLOOKUP("LULUCF|SO2|Premature mortality", US_national_yearly!$D:$AM, 19, FALSE) / VLOOKUP("LULUCF|SO2|Premature mortality", US_national_yearly!$D:$AM, 10, FALSE), 1)</f>
        <v>3.3313706077074391E-4</v>
      </c>
      <c r="L2" s="7">
        <f>$B2 * IFERROR(VLOOKUP("LULUCF|SO2|Premature mortality", US_national_yearly!$D:$AM, 20, FALSE) / VLOOKUP("LULUCF|SO2|Premature mortality", US_national_yearly!$D:$AM, 10, FALSE), 1)</f>
        <v>3.3781769394220645E-4</v>
      </c>
      <c r="M2" s="7">
        <f>$B2 * IFERROR(VLOOKUP("LULUCF|SO2|Premature mortality", US_national_yearly!$D:$AM, 21, FALSE) / VLOOKUP("LULUCF|SO2|Premature mortality", US_national_yearly!$D:$AM, 10, FALSE), 1)</f>
        <v>3.4249832711366905E-4</v>
      </c>
      <c r="N2" s="7">
        <f>$B2 * IFERROR(VLOOKUP("LULUCF|SO2|Premature mortality", US_national_yearly!$D:$AM, 22, FALSE) / VLOOKUP("LULUCF|SO2|Premature mortality", US_national_yearly!$D:$AM, 10, FALSE), 1)</f>
        <v>3.4615551998354386E-4</v>
      </c>
      <c r="O2" s="7">
        <f>$B2 * IFERROR(VLOOKUP("LULUCF|SO2|Premature mortality", US_national_yearly!$D:$AM, 23, FALSE) / VLOOKUP("LULUCF|SO2|Premature mortality", US_national_yearly!$D:$AM, 10, FALSE), 1)</f>
        <v>3.4981271285341873E-4</v>
      </c>
      <c r="P2" s="7">
        <f>$B2 * IFERROR(VLOOKUP("LULUCF|SO2|Premature mortality", US_national_yearly!$D:$AM, 24, FALSE) / VLOOKUP("LULUCF|SO2|Premature mortality", US_national_yearly!$D:$AM, 10, FALSE), 1)</f>
        <v>3.5346990572329354E-4</v>
      </c>
      <c r="Q2" s="7">
        <f>$B2 * IFERROR(VLOOKUP("LULUCF|SO2|Premature mortality", US_national_yearly!$D:$AM, 25, FALSE) / VLOOKUP("LULUCF|SO2|Premature mortality", US_national_yearly!$D:$AM, 10, FALSE), 1)</f>
        <v>3.5712709859316835E-4</v>
      </c>
      <c r="R2" s="7">
        <f>$B2 * IFERROR(VLOOKUP("LULUCF|SO2|Premature mortality", US_national_yearly!$D:$AM, 26, FALSE) / VLOOKUP("LULUCF|SO2|Premature mortality", US_national_yearly!$D:$AM, 10, FALSE), 1)</f>
        <v>3.6078429146304316E-4</v>
      </c>
      <c r="S2" s="7">
        <f>$B2 * IFERROR(VLOOKUP("LULUCF|SO2|Premature mortality", US_national_yearly!$D:$AM, 27, FALSE) / VLOOKUP("LULUCF|SO2|Premature mortality", US_national_yearly!$D:$AM, 10, FALSE), 1)</f>
        <v>3.6274276694111288E-4</v>
      </c>
      <c r="T2" s="7">
        <f>$B2 * IFERROR(VLOOKUP("LULUCF|SO2|Premature mortality", US_national_yearly!$D:$AM, 28, FALSE) / VLOOKUP("LULUCF|SO2|Premature mortality", US_national_yearly!$D:$AM, 10, FALSE), 1)</f>
        <v>3.6470124241918254E-4</v>
      </c>
      <c r="U2" s="7">
        <f>$B2 * IFERROR(VLOOKUP("LULUCF|SO2|Premature mortality", US_national_yearly!$D:$AM, 29, FALSE) / VLOOKUP("LULUCF|SO2|Premature mortality", US_national_yearly!$D:$AM, 10, FALSE), 1)</f>
        <v>3.666597178972522E-4</v>
      </c>
      <c r="V2" s="7">
        <f>$B2 * IFERROR(VLOOKUP("LULUCF|SO2|Premature mortality", US_national_yearly!$D:$AM, 30, FALSE) / VLOOKUP("LULUCF|SO2|Premature mortality", US_national_yearly!$D:$AM, 10, FALSE), 1)</f>
        <v>3.6861819337532191E-4</v>
      </c>
      <c r="W2" s="7">
        <f>$B2 * IFERROR(VLOOKUP("LULUCF|SO2|Premature mortality", US_national_yearly!$D:$AM, 31, FALSE) / VLOOKUP("LULUCF|SO2|Premature mortality", US_national_yearly!$D:$AM, 10, FALSE), 1)</f>
        <v>3.7057666885339163E-4</v>
      </c>
      <c r="X2" s="7">
        <f>$B2 * IFERROR(VLOOKUP("LULUCF|SO2|Premature mortality", US_national_yearly!$D:$AM, 32, FALSE) / VLOOKUP("LULUCF|SO2|Premature mortality", US_national_yearly!$D:$AM, 10, FALSE), 1)</f>
        <v>3.7097453913728743E-4</v>
      </c>
      <c r="Y2" s="7">
        <f>$B2 * IFERROR(VLOOKUP("LULUCF|SO2|Premature mortality", US_national_yearly!$D:$AM, 33, FALSE) / VLOOKUP("LULUCF|SO2|Premature mortality", US_national_yearly!$D:$AM, 10, FALSE), 1)</f>
        <v>3.7137240942118334E-4</v>
      </c>
      <c r="Z2" s="7">
        <f>$B2 * IFERROR(VLOOKUP("LULUCF|SO2|Premature mortality", US_national_yearly!$D:$AM, 34, FALSE) / VLOOKUP("LULUCF|SO2|Premature mortality", US_national_yearly!$D:$AM, 10, FALSE), 1)</f>
        <v>3.7177027970507925E-4</v>
      </c>
      <c r="AA2" s="7">
        <f>$B2 * IFERROR(VLOOKUP("LULUCF|SO2|Premature mortality", US_national_yearly!$D:$AM, 35, FALSE) / VLOOKUP("LULUCF|SO2|Premature mortality", US_national_yearly!$D:$AM, 10, FALSE), 1)</f>
        <v>3.721681499889751E-4</v>
      </c>
      <c r="AB2" s="7">
        <f>$B2 * IFERROR(VLOOKUP("LULUCF|SO2|Premature mortality", US_national_yearly!$D:$AM, 36, FALSE) / VLOOKUP("LULUCF|SO2|Premature mortality", US_national_yearly!$D:$AM, 10, FALSE), 1)</f>
        <v>3.7256602027287096E-4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6.6214568090179255E-7</v>
      </c>
      <c r="C3" s="7">
        <f>$B3 * IFERROR(VLOOKUP("LULUCF|SO2|Infant mortality", US_national_yearly!$D:$AM, 11, FALSE) / VLOOKUP("LULUCF|SO2|Infant mortality", US_national_yearly!$D:$AM, 10, FALSE), 1)</f>
        <v>6.5645772872378516E-7</v>
      </c>
      <c r="D3" s="7">
        <f>$B3 * IFERROR(VLOOKUP("LULUCF|SO2|Infant mortality", US_national_yearly!$D:$AM, 12, FALSE) / VLOOKUP("LULUCF|SO2|Infant mortality", US_national_yearly!$D:$AM, 10, FALSE), 1)</f>
        <v>6.5076977654577788E-7</v>
      </c>
      <c r="E3" s="7">
        <f>$B3 * IFERROR(VLOOKUP("LULUCF|SO2|Infant mortality", US_national_yearly!$D:$AM, 13, FALSE) / VLOOKUP("LULUCF|SO2|Infant mortality", US_national_yearly!$D:$AM, 10, FALSE), 1)</f>
        <v>6.4508182436777038E-7</v>
      </c>
      <c r="F3" s="7">
        <f>$B3 * IFERROR(VLOOKUP("LULUCF|SO2|Infant mortality", US_national_yearly!$D:$AM, 14, FALSE) / VLOOKUP("LULUCF|SO2|Infant mortality", US_national_yearly!$D:$AM, 10, FALSE), 1)</f>
        <v>6.3939387218976309E-7</v>
      </c>
      <c r="G3" s="7">
        <f>$B3 * IFERROR(VLOOKUP("LULUCF|SO2|Infant mortality", US_national_yearly!$D:$AM, 15, FALSE) / VLOOKUP("LULUCF|SO2|Infant mortality", US_national_yearly!$D:$AM, 10, FALSE), 1)</f>
        <v>4.2588781667153246E-7</v>
      </c>
      <c r="H3" s="7">
        <f>$B3 * IFERROR(VLOOKUP("LULUCF|SO2|Infant mortality", US_national_yearly!$D:$AM, 16, FALSE) / VLOOKUP("LULUCF|SO2|Infant mortality", US_national_yearly!$D:$AM, 10, FALSE), 1)</f>
        <v>2.123817611533022E-7</v>
      </c>
      <c r="I3" s="7">
        <f>$B3 * IFERROR(VLOOKUP("LULUCF|SO2|Infant mortality", US_national_yearly!$D:$AM, 17, FALSE) / VLOOKUP("LULUCF|SO2|Infant mortality", US_national_yearly!$D:$AM, 10, FALSE), 1)</f>
        <v>2.1104942623180204E-7</v>
      </c>
      <c r="J3" s="7">
        <f>$B3 * IFERROR(VLOOKUP("LULUCF|SO2|Infant mortality", US_national_yearly!$D:$AM, 18, FALSE) / VLOOKUP("LULUCF|SO2|Infant mortality", US_national_yearly!$D:$AM, 10, FALSE), 1)</f>
        <v>2.0971709131030187E-7</v>
      </c>
      <c r="K3" s="7">
        <f>$B3 * IFERROR(VLOOKUP("LULUCF|SO2|Infant mortality", US_national_yearly!$D:$AM, 19, FALSE) / VLOOKUP("LULUCF|SO2|Infant mortality", US_national_yearly!$D:$AM, 10, FALSE), 1)</f>
        <v>2.0838475638880169E-7</v>
      </c>
      <c r="L3" s="7">
        <f>$B3 * IFERROR(VLOOKUP("LULUCF|SO2|Infant mortality", US_national_yearly!$D:$AM, 20, FALSE) / VLOOKUP("LULUCF|SO2|Infant mortality", US_national_yearly!$D:$AM, 10, FALSE), 1)</f>
        <v>2.0705242146730155E-7</v>
      </c>
      <c r="M3" s="7">
        <f>$B3 * IFERROR(VLOOKUP("LULUCF|SO2|Infant mortality", US_national_yearly!$D:$AM, 21, FALSE) / VLOOKUP("LULUCF|SO2|Infant mortality", US_national_yearly!$D:$AM, 10, FALSE), 1)</f>
        <v>2.0572008654580139E-7</v>
      </c>
      <c r="N3" s="7">
        <f>$B3 * IFERROR(VLOOKUP("LULUCF|SO2|Infant mortality", US_national_yearly!$D:$AM, 22, FALSE) / VLOOKUP("LULUCF|SO2|Infant mortality", US_national_yearly!$D:$AM, 10, FALSE), 1)</f>
        <v>2.0488378989031726E-7</v>
      </c>
      <c r="O3" s="7">
        <f>$B3 * IFERROR(VLOOKUP("LULUCF|SO2|Infant mortality", US_national_yearly!$D:$AM, 23, FALSE) / VLOOKUP("LULUCF|SO2|Infant mortality", US_national_yearly!$D:$AM, 10, FALSE), 1)</f>
        <v>2.0404749323483312E-7</v>
      </c>
      <c r="P3" s="7">
        <f>$B3 * IFERROR(VLOOKUP("LULUCF|SO2|Infant mortality", US_national_yearly!$D:$AM, 24, FALSE) / VLOOKUP("LULUCF|SO2|Infant mortality", US_national_yearly!$D:$AM, 10, FALSE), 1)</f>
        <v>2.0321119657934896E-7</v>
      </c>
      <c r="Q3" s="7">
        <f>$B3 * IFERROR(VLOOKUP("LULUCF|SO2|Infant mortality", US_national_yearly!$D:$AM, 25, FALSE) / VLOOKUP("LULUCF|SO2|Infant mortality", US_national_yearly!$D:$AM, 10, FALSE), 1)</f>
        <v>2.0237489992386486E-7</v>
      </c>
      <c r="R3" s="7">
        <f>$B3 * IFERROR(VLOOKUP("LULUCF|SO2|Infant mortality", US_national_yearly!$D:$AM, 26, FALSE) / VLOOKUP("LULUCF|SO2|Infant mortality", US_national_yearly!$D:$AM, 10, FALSE), 1)</f>
        <v>2.015386032683807E-7</v>
      </c>
      <c r="S3" s="7">
        <f>$B3 * IFERROR(VLOOKUP("LULUCF|SO2|Infant mortality", US_national_yearly!$D:$AM, 27, FALSE) / VLOOKUP("LULUCF|SO2|Infant mortality", US_national_yearly!$D:$AM, 10, FALSE), 1)</f>
        <v>2.0048858186913752E-7</v>
      </c>
      <c r="T3" s="7">
        <f>$B3 * IFERROR(VLOOKUP("LULUCF|SO2|Infant mortality", US_national_yearly!$D:$AM, 28, FALSE) / VLOOKUP("LULUCF|SO2|Infant mortality", US_national_yearly!$D:$AM, 10, FALSE), 1)</f>
        <v>1.9943856046989437E-7</v>
      </c>
      <c r="U3" s="7">
        <f>$B3 * IFERROR(VLOOKUP("LULUCF|SO2|Infant mortality", US_national_yearly!$D:$AM, 29, FALSE) / VLOOKUP("LULUCF|SO2|Infant mortality", US_national_yearly!$D:$AM, 10, FALSE), 1)</f>
        <v>1.9838853907065111E-7</v>
      </c>
      <c r="V3" s="7">
        <f>$B3 * IFERROR(VLOOKUP("LULUCF|SO2|Infant mortality", US_national_yearly!$D:$AM, 30, FALSE) / VLOOKUP("LULUCF|SO2|Infant mortality", US_national_yearly!$D:$AM, 10, FALSE), 1)</f>
        <v>1.9733851767140798E-7</v>
      </c>
      <c r="W3" s="7">
        <f>$B3 * IFERROR(VLOOKUP("LULUCF|SO2|Infant mortality", US_national_yearly!$D:$AM, 31, FALSE) / VLOOKUP("LULUCF|SO2|Infant mortality", US_national_yearly!$D:$AM, 10, FALSE), 1)</f>
        <v>1.9628849627216478E-7</v>
      </c>
      <c r="X3" s="7">
        <f>$B3 * IFERROR(VLOOKUP("LULUCF|SO2|Infant mortality", US_national_yearly!$D:$AM, 32, FALSE) / VLOOKUP("LULUCF|SO2|Infant mortality", US_national_yearly!$D:$AM, 10, FALSE), 1)</f>
        <v>1.9514049877051127E-7</v>
      </c>
      <c r="Y3" s="7">
        <f>$B3 * IFERROR(VLOOKUP("LULUCF|SO2|Infant mortality", US_national_yearly!$D:$AM, 33, FALSE) / VLOOKUP("LULUCF|SO2|Infant mortality", US_national_yearly!$D:$AM, 10, FALSE), 1)</f>
        <v>1.9399250126885768E-7</v>
      </c>
      <c r="Z3" s="7">
        <f>$B3 * IFERROR(VLOOKUP("LULUCF|SO2|Infant mortality", US_national_yearly!$D:$AM, 34, FALSE) / VLOOKUP("LULUCF|SO2|Infant mortality", US_national_yearly!$D:$AM, 10, FALSE), 1)</f>
        <v>1.9284450376720417E-7</v>
      </c>
      <c r="AA3" s="7">
        <f>$B3 * IFERROR(VLOOKUP("LULUCF|SO2|Infant mortality", US_national_yearly!$D:$AM, 35, FALSE) / VLOOKUP("LULUCF|SO2|Infant mortality", US_national_yearly!$D:$AM, 10, FALSE), 1)</f>
        <v>1.9169650626555058E-7</v>
      </c>
      <c r="AB3" s="7">
        <f>$B3 * IFERROR(VLOOKUP("LULUCF|SO2|Infant mortality", US_national_yearly!$D:$AM, 36, FALSE) / VLOOKUP("LULUCF|SO2|Infant mortality", US_national_yearly!$D:$AM, 10, FALSE), 1)</f>
        <v>1.9054850876389704E-7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5.9972080896858633E-4</v>
      </c>
      <c r="C6" s="7">
        <f>$B6 * IFERROR(VLOOKUP("LULUCF|SO2|Asthma symptoms cough", US_national_yearly!$D:$AM, 11, FALSE) / VLOOKUP("LULUCF|SO2|Asthma symptoms cough", US_national_yearly!$D:$AM, 10, FALSE), 1)</f>
        <v>5.9972080896858633E-4</v>
      </c>
      <c r="D6" s="7">
        <f>$B6 * IFERROR(VLOOKUP("LULUCF|SO2|Asthma symptoms cough", US_national_yearly!$D:$AM, 12, FALSE) / VLOOKUP("LULUCF|SO2|Asthma symptoms cough", US_national_yearly!$D:$AM, 10, FALSE), 1)</f>
        <v>5.9972080896858633E-4</v>
      </c>
      <c r="E6" s="7">
        <f>$B6 * IFERROR(VLOOKUP("LULUCF|SO2|Asthma symptoms cough", US_national_yearly!$D:$AM, 13, FALSE) / VLOOKUP("LULUCF|SO2|Asthma symptoms cough", US_national_yearly!$D:$AM, 10, FALSE), 1)</f>
        <v>5.9972080896858633E-4</v>
      </c>
      <c r="F6" s="7">
        <f>$B6 * IFERROR(VLOOKUP("LULUCF|SO2|Asthma symptoms cough", US_national_yearly!$D:$AM, 14, FALSE) / VLOOKUP("LULUCF|SO2|Asthma symptoms cough", US_national_yearly!$D:$AM, 10, FALSE), 1)</f>
        <v>5.9972080896858633E-4</v>
      </c>
      <c r="G6" s="7">
        <f>$B6 * IFERROR(VLOOKUP("LULUCF|SO2|Asthma symptoms cough", US_national_yearly!$D:$AM, 15, FALSE) / VLOOKUP("LULUCF|SO2|Asthma symptoms cough", US_national_yearly!$D:$AM, 10, FALSE), 1)</f>
        <v>5.9972080896858633E-4</v>
      </c>
      <c r="H6" s="7">
        <f>$B6 * IFERROR(VLOOKUP("LULUCF|SO2|Asthma symptoms cough", US_national_yearly!$D:$AM, 16, FALSE) / VLOOKUP("LULUCF|SO2|Asthma symptoms cough", US_national_yearly!$D:$AM, 10, FALSE), 1)</f>
        <v>5.9972080896858633E-4</v>
      </c>
      <c r="I6" s="7">
        <f>$B6 * IFERROR(VLOOKUP("LULUCF|SO2|Asthma symptoms cough", US_national_yearly!$D:$AM, 17, FALSE) / VLOOKUP("LULUCF|SO2|Asthma symptoms cough", US_national_yearly!$D:$AM, 10, FALSE), 1)</f>
        <v>5.9972080896858633E-4</v>
      </c>
      <c r="J6" s="7">
        <f>$B6 * IFERROR(VLOOKUP("LULUCF|SO2|Asthma symptoms cough", US_national_yearly!$D:$AM, 18, FALSE) / VLOOKUP("LULUCF|SO2|Asthma symptoms cough", US_national_yearly!$D:$AM, 10, FALSE), 1)</f>
        <v>5.9972080896858633E-4</v>
      </c>
      <c r="K6" s="7">
        <f>$B6 * IFERROR(VLOOKUP("LULUCF|SO2|Asthma symptoms cough", US_national_yearly!$D:$AM, 19, FALSE) / VLOOKUP("LULUCF|SO2|Asthma symptoms cough", US_national_yearly!$D:$AM, 10, FALSE), 1)</f>
        <v>5.9972080896858633E-4</v>
      </c>
      <c r="L6" s="7">
        <f>$B6 * IFERROR(VLOOKUP("LULUCF|SO2|Asthma symptoms cough", US_national_yearly!$D:$AM, 20, FALSE) / VLOOKUP("LULUCF|SO2|Asthma symptoms cough", US_national_yearly!$D:$AM, 10, FALSE), 1)</f>
        <v>5.9972080896858633E-4</v>
      </c>
      <c r="M6" s="7">
        <f>$B6 * IFERROR(VLOOKUP("LULUCF|SO2|Asthma symptoms cough", US_national_yearly!$D:$AM, 21, FALSE) / VLOOKUP("LULUCF|SO2|Asthma symptoms cough", US_national_yearly!$D:$AM, 10, FALSE), 1)</f>
        <v>5.9972080896858633E-4</v>
      </c>
      <c r="N6" s="7">
        <f>$B6 * IFERROR(VLOOKUP("LULUCF|SO2|Asthma symptoms cough", US_national_yearly!$D:$AM, 22, FALSE) / VLOOKUP("LULUCF|SO2|Asthma symptoms cough", US_national_yearly!$D:$AM, 10, FALSE), 1)</f>
        <v>5.9972080896858633E-4</v>
      </c>
      <c r="O6" s="7">
        <f>$B6 * IFERROR(VLOOKUP("LULUCF|SO2|Asthma symptoms cough", US_national_yearly!$D:$AM, 23, FALSE) / VLOOKUP("LULUCF|SO2|Asthma symptoms cough", US_national_yearly!$D:$AM, 10, FALSE), 1)</f>
        <v>5.9972080896858633E-4</v>
      </c>
      <c r="P6" s="7">
        <f>$B6 * IFERROR(VLOOKUP("LULUCF|SO2|Asthma symptoms cough", US_national_yearly!$D:$AM, 24, FALSE) / VLOOKUP("LULUCF|SO2|Asthma symptoms cough", US_national_yearly!$D:$AM, 10, FALSE), 1)</f>
        <v>5.9972080896858633E-4</v>
      </c>
      <c r="Q6" s="7">
        <f>$B6 * IFERROR(VLOOKUP("LULUCF|SO2|Asthma symptoms cough", US_national_yearly!$D:$AM, 25, FALSE) / VLOOKUP("LULUCF|SO2|Asthma symptoms cough", US_national_yearly!$D:$AM, 10, FALSE), 1)</f>
        <v>5.9972080896858633E-4</v>
      </c>
      <c r="R6" s="7">
        <f>$B6 * IFERROR(VLOOKUP("LULUCF|SO2|Asthma symptoms cough", US_national_yearly!$D:$AM, 26, FALSE) / VLOOKUP("LULUCF|SO2|Asthma symptoms cough", US_national_yearly!$D:$AM, 10, FALSE), 1)</f>
        <v>5.9972080896858633E-4</v>
      </c>
      <c r="S6" s="7">
        <f>$B6 * IFERROR(VLOOKUP("LULUCF|SO2|Asthma symptoms cough", US_national_yearly!$D:$AM, 27, FALSE) / VLOOKUP("LULUCF|SO2|Asthma symptoms cough", US_national_yearly!$D:$AM, 10, FALSE), 1)</f>
        <v>5.9972080896858633E-4</v>
      </c>
      <c r="T6" s="7">
        <f>$B6 * IFERROR(VLOOKUP("LULUCF|SO2|Asthma symptoms cough", US_national_yearly!$D:$AM, 28, FALSE) / VLOOKUP("LULUCF|SO2|Asthma symptoms cough", US_national_yearly!$D:$AM, 10, FALSE), 1)</f>
        <v>5.9972080896858633E-4</v>
      </c>
      <c r="U6" s="7">
        <f>$B6 * IFERROR(VLOOKUP("LULUCF|SO2|Asthma symptoms cough", US_national_yearly!$D:$AM, 29, FALSE) / VLOOKUP("LULUCF|SO2|Asthma symptoms cough", US_national_yearly!$D:$AM, 10, FALSE), 1)</f>
        <v>5.9972080896858633E-4</v>
      </c>
      <c r="V6" s="7">
        <f>$B6 * IFERROR(VLOOKUP("LULUCF|SO2|Asthma symptoms cough", US_national_yearly!$D:$AM, 30, FALSE) / VLOOKUP("LULUCF|SO2|Asthma symptoms cough", US_national_yearly!$D:$AM, 10, FALSE), 1)</f>
        <v>5.9972080896858633E-4</v>
      </c>
      <c r="W6" s="7">
        <f>$B6 * IFERROR(VLOOKUP("LULUCF|SO2|Asthma symptoms cough", US_national_yearly!$D:$AM, 31, FALSE) / VLOOKUP("LULUCF|SO2|Asthma symptoms cough", US_national_yearly!$D:$AM, 10, FALSE), 1)</f>
        <v>5.9972080896858633E-4</v>
      </c>
      <c r="X6" s="7">
        <f>$B6 * IFERROR(VLOOKUP("LULUCF|SO2|Asthma symptoms cough", US_national_yearly!$D:$AM, 32, FALSE) / VLOOKUP("LULUCF|SO2|Asthma symptoms cough", US_national_yearly!$D:$AM, 10, FALSE), 1)</f>
        <v>5.9972080896858633E-4</v>
      </c>
      <c r="Y6" s="7">
        <f>$B6 * IFERROR(VLOOKUP("LULUCF|SO2|Asthma symptoms cough", US_national_yearly!$D:$AM, 33, FALSE) / VLOOKUP("LULUCF|SO2|Asthma symptoms cough", US_national_yearly!$D:$AM, 10, FALSE), 1)</f>
        <v>5.9972080896858633E-4</v>
      </c>
      <c r="Z6" s="7">
        <f>$B6 * IFERROR(VLOOKUP("LULUCF|SO2|Asthma symptoms cough", US_national_yearly!$D:$AM, 34, FALSE) / VLOOKUP("LULUCF|SO2|Asthma symptoms cough", US_national_yearly!$D:$AM, 10, FALSE), 1)</f>
        <v>5.9972080896858633E-4</v>
      </c>
      <c r="AA6" s="7">
        <f>$B6 * IFERROR(VLOOKUP("LULUCF|SO2|Asthma symptoms cough", US_national_yearly!$D:$AM, 35, FALSE) / VLOOKUP("LULUCF|SO2|Asthma symptoms cough", US_national_yearly!$D:$AM, 10, FALSE), 1)</f>
        <v>5.9972080896858633E-4</v>
      </c>
      <c r="AB6" s="7">
        <f>$B6 * IFERROR(VLOOKUP("LULUCF|SO2|Asthma symptoms cough", US_national_yearly!$D:$AM, 36, FALSE) / VLOOKUP("LULUCF|SO2|Asthma symptoms cough", US_national_yearly!$D:$AM, 10, FALSE), 1)</f>
        <v>5.9972080896858633E-4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8.0760809326728259E-4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8.0760809326728259E-4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8.0760809326728259E-4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8.0760809326728259E-4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8.0760809326728259E-4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8.0760809326728259E-4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8.0760809326728259E-4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8.0760809326728259E-4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8.0760809326728259E-4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8.0760809326728259E-4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8.0760809326728259E-4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8.0760809326728259E-4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8.0760809326728259E-4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8.0760809326728259E-4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8.0760809326728259E-4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8.0760809326728259E-4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8.0760809326728259E-4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8.0760809326728259E-4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8.0760809326728259E-4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8.0760809326728259E-4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8.0760809326728259E-4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8.0760809326728259E-4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8.0760809326728259E-4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8.0760809326728259E-4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8.0760809326728259E-4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8.0760809326728259E-4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8.0760809326728259E-4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1.2338989895327129E-3</v>
      </c>
      <c r="C8" s="7">
        <f>$B8 * IFERROR(VLOOKUP("LULUCF|SO2|Asthma symptoms wheeze", US_national_yearly!$D:$AM, 11, FALSE) / VLOOKUP("LULUCF|SO2|Asthma symptoms wheeze", US_national_yearly!$D:$AM, 10, FALSE), 1)</f>
        <v>1.2338989895327129E-3</v>
      </c>
      <c r="D8" s="7">
        <f>$B8 * IFERROR(VLOOKUP("LULUCF|SO2|Asthma symptoms wheeze", US_national_yearly!$D:$AM, 12, FALSE) / VLOOKUP("LULUCF|SO2|Asthma symptoms wheeze", US_national_yearly!$D:$AM, 10, FALSE), 1)</f>
        <v>1.2338989895327129E-3</v>
      </c>
      <c r="E8" s="7">
        <f>$B8 * IFERROR(VLOOKUP("LULUCF|SO2|Asthma symptoms wheeze", US_national_yearly!$D:$AM, 13, FALSE) / VLOOKUP("LULUCF|SO2|Asthma symptoms wheeze", US_national_yearly!$D:$AM, 10, FALSE), 1)</f>
        <v>1.2338989895327129E-3</v>
      </c>
      <c r="F8" s="7">
        <f>$B8 * IFERROR(VLOOKUP("LULUCF|SO2|Asthma symptoms wheeze", US_national_yearly!$D:$AM, 14, FALSE) / VLOOKUP("LULUCF|SO2|Asthma symptoms wheeze", US_national_yearly!$D:$AM, 10, FALSE), 1)</f>
        <v>1.2338989895327129E-3</v>
      </c>
      <c r="G8" s="7">
        <f>$B8 * IFERROR(VLOOKUP("LULUCF|SO2|Asthma symptoms wheeze", US_national_yearly!$D:$AM, 15, FALSE) / VLOOKUP("LULUCF|SO2|Asthma symptoms wheeze", US_national_yearly!$D:$AM, 10, FALSE), 1)</f>
        <v>1.2338989895327129E-3</v>
      </c>
      <c r="H8" s="7">
        <f>$B8 * IFERROR(VLOOKUP("LULUCF|SO2|Asthma symptoms wheeze", US_national_yearly!$D:$AM, 16, FALSE) / VLOOKUP("LULUCF|SO2|Asthma symptoms wheeze", US_national_yearly!$D:$AM, 10, FALSE), 1)</f>
        <v>1.2338989895327129E-3</v>
      </c>
      <c r="I8" s="7">
        <f>$B8 * IFERROR(VLOOKUP("LULUCF|SO2|Asthma symptoms wheeze", US_national_yearly!$D:$AM, 17, FALSE) / VLOOKUP("LULUCF|SO2|Asthma symptoms wheeze", US_national_yearly!$D:$AM, 10, FALSE), 1)</f>
        <v>1.2338989895327129E-3</v>
      </c>
      <c r="J8" s="7">
        <f>$B8 * IFERROR(VLOOKUP("LULUCF|SO2|Asthma symptoms wheeze", US_national_yearly!$D:$AM, 18, FALSE) / VLOOKUP("LULUCF|SO2|Asthma symptoms wheeze", US_national_yearly!$D:$AM, 10, FALSE), 1)</f>
        <v>1.2338989895327129E-3</v>
      </c>
      <c r="K8" s="7">
        <f>$B8 * IFERROR(VLOOKUP("LULUCF|SO2|Asthma symptoms wheeze", US_national_yearly!$D:$AM, 19, FALSE) / VLOOKUP("LULUCF|SO2|Asthma symptoms wheeze", US_national_yearly!$D:$AM, 10, FALSE), 1)</f>
        <v>1.2338989895327129E-3</v>
      </c>
      <c r="L8" s="7">
        <f>$B8 * IFERROR(VLOOKUP("LULUCF|SO2|Asthma symptoms wheeze", US_national_yearly!$D:$AM, 20, FALSE) / VLOOKUP("LULUCF|SO2|Asthma symptoms wheeze", US_national_yearly!$D:$AM, 10, FALSE), 1)</f>
        <v>1.2338989895327129E-3</v>
      </c>
      <c r="M8" s="7">
        <f>$B8 * IFERROR(VLOOKUP("LULUCF|SO2|Asthma symptoms wheeze", US_national_yearly!$D:$AM, 21, FALSE) / VLOOKUP("LULUCF|SO2|Asthma symptoms wheeze", US_national_yearly!$D:$AM, 10, FALSE), 1)</f>
        <v>1.2338989895327129E-3</v>
      </c>
      <c r="N8" s="7">
        <f>$B8 * IFERROR(VLOOKUP("LULUCF|SO2|Asthma symptoms wheeze", US_national_yearly!$D:$AM, 22, FALSE) / VLOOKUP("LULUCF|SO2|Asthma symptoms wheeze", US_national_yearly!$D:$AM, 10, FALSE), 1)</f>
        <v>1.2338989895327129E-3</v>
      </c>
      <c r="O8" s="7">
        <f>$B8 * IFERROR(VLOOKUP("LULUCF|SO2|Asthma symptoms wheeze", US_national_yearly!$D:$AM, 23, FALSE) / VLOOKUP("LULUCF|SO2|Asthma symptoms wheeze", US_national_yearly!$D:$AM, 10, FALSE), 1)</f>
        <v>1.2338989895327129E-3</v>
      </c>
      <c r="P8" s="7">
        <f>$B8 * IFERROR(VLOOKUP("LULUCF|SO2|Asthma symptoms wheeze", US_national_yearly!$D:$AM, 24, FALSE) / VLOOKUP("LULUCF|SO2|Asthma symptoms wheeze", US_national_yearly!$D:$AM, 10, FALSE), 1)</f>
        <v>1.2338989895327129E-3</v>
      </c>
      <c r="Q8" s="7">
        <f>$B8 * IFERROR(VLOOKUP("LULUCF|SO2|Asthma symptoms wheeze", US_national_yearly!$D:$AM, 25, FALSE) / VLOOKUP("LULUCF|SO2|Asthma symptoms wheeze", US_national_yearly!$D:$AM, 10, FALSE), 1)</f>
        <v>1.2338989895327129E-3</v>
      </c>
      <c r="R8" s="7">
        <f>$B8 * IFERROR(VLOOKUP("LULUCF|SO2|Asthma symptoms wheeze", US_national_yearly!$D:$AM, 26, FALSE) / VLOOKUP("LULUCF|SO2|Asthma symptoms wheeze", US_national_yearly!$D:$AM, 10, FALSE), 1)</f>
        <v>1.2338989895327129E-3</v>
      </c>
      <c r="S8" s="7">
        <f>$B8 * IFERROR(VLOOKUP("LULUCF|SO2|Asthma symptoms wheeze", US_national_yearly!$D:$AM, 27, FALSE) / VLOOKUP("LULUCF|SO2|Asthma symptoms wheeze", US_national_yearly!$D:$AM, 10, FALSE), 1)</f>
        <v>1.2338989895327129E-3</v>
      </c>
      <c r="T8" s="7">
        <f>$B8 * IFERROR(VLOOKUP("LULUCF|SO2|Asthma symptoms wheeze", US_national_yearly!$D:$AM, 28, FALSE) / VLOOKUP("LULUCF|SO2|Asthma symptoms wheeze", US_national_yearly!$D:$AM, 10, FALSE), 1)</f>
        <v>1.2338989895327129E-3</v>
      </c>
      <c r="U8" s="7">
        <f>$B8 * IFERROR(VLOOKUP("LULUCF|SO2|Asthma symptoms wheeze", US_national_yearly!$D:$AM, 29, FALSE) / VLOOKUP("LULUCF|SO2|Asthma symptoms wheeze", US_national_yearly!$D:$AM, 10, FALSE), 1)</f>
        <v>1.2338989895327129E-3</v>
      </c>
      <c r="V8" s="7">
        <f>$B8 * IFERROR(VLOOKUP("LULUCF|SO2|Asthma symptoms wheeze", US_national_yearly!$D:$AM, 30, FALSE) / VLOOKUP("LULUCF|SO2|Asthma symptoms wheeze", US_national_yearly!$D:$AM, 10, FALSE), 1)</f>
        <v>1.2338989895327129E-3</v>
      </c>
      <c r="W8" s="7">
        <f>$B8 * IFERROR(VLOOKUP("LULUCF|SO2|Asthma symptoms wheeze", US_national_yearly!$D:$AM, 31, FALSE) / VLOOKUP("LULUCF|SO2|Asthma symptoms wheeze", US_national_yearly!$D:$AM, 10, FALSE), 1)</f>
        <v>1.2338989895327129E-3</v>
      </c>
      <c r="X8" s="7">
        <f>$B8 * IFERROR(VLOOKUP("LULUCF|SO2|Asthma symptoms wheeze", US_national_yearly!$D:$AM, 32, FALSE) / VLOOKUP("LULUCF|SO2|Asthma symptoms wheeze", US_national_yearly!$D:$AM, 10, FALSE), 1)</f>
        <v>1.2338989895327129E-3</v>
      </c>
      <c r="Y8" s="7">
        <f>$B8 * IFERROR(VLOOKUP("LULUCF|SO2|Asthma symptoms wheeze", US_national_yearly!$D:$AM, 33, FALSE) / VLOOKUP("LULUCF|SO2|Asthma symptoms wheeze", US_national_yearly!$D:$AM, 10, FALSE), 1)</f>
        <v>1.2338989895327129E-3</v>
      </c>
      <c r="Z8" s="7">
        <f>$B8 * IFERROR(VLOOKUP("LULUCF|SO2|Asthma symptoms wheeze", US_national_yearly!$D:$AM, 34, FALSE) / VLOOKUP("LULUCF|SO2|Asthma symptoms wheeze", US_national_yearly!$D:$AM, 10, FALSE), 1)</f>
        <v>1.2338989895327129E-3</v>
      </c>
      <c r="AA8" s="7">
        <f>$B8 * IFERROR(VLOOKUP("LULUCF|SO2|Asthma symptoms wheeze", US_national_yearly!$D:$AM, 35, FALSE) / VLOOKUP("LULUCF|SO2|Asthma symptoms wheeze", US_national_yearly!$D:$AM, 10, FALSE), 1)</f>
        <v>1.2338989895327129E-3</v>
      </c>
      <c r="AB8" s="7">
        <f>$B8 * IFERROR(VLOOKUP("LULUCF|SO2|Asthma symptoms wheeze", US_national_yearly!$D:$AM, 36, FALSE) / VLOOKUP("LULUCF|SO2|Asthma symptoms wheeze", US_national_yearly!$D:$AM, 10, FALSE), 1)</f>
        <v>1.2338989895327129E-3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5.9037705597024294E-5</v>
      </c>
      <c r="C12" s="7">
        <f>$B12 * IFERROR(VLOOKUP("LULUCF|SO2|Respiratory hospital admissions", US_national_yearly!$D:$AM, 11, FALSE) / VLOOKUP("LULUCF|SO2|Respiratory hospital admissions", US_national_yearly!$D:$AM, 10, FALSE), 1)</f>
        <v>5.9385912918508389E-5</v>
      </c>
      <c r="D12" s="7">
        <f>$B12 * IFERROR(VLOOKUP("LULUCF|SO2|Respiratory hospital admissions", US_national_yearly!$D:$AM, 12, FALSE) / VLOOKUP("LULUCF|SO2|Respiratory hospital admissions", US_national_yearly!$D:$AM, 10, FALSE), 1)</f>
        <v>5.9734120239992484E-5</v>
      </c>
      <c r="E12" s="7">
        <f>$B12 * IFERROR(VLOOKUP("LULUCF|SO2|Respiratory hospital admissions", US_national_yearly!$D:$AM, 13, FALSE) / VLOOKUP("LULUCF|SO2|Respiratory hospital admissions", US_national_yearly!$D:$AM, 10, FALSE), 1)</f>
        <v>6.0082327561476578E-5</v>
      </c>
      <c r="F12" s="7">
        <f>$B12 * IFERROR(VLOOKUP("LULUCF|SO2|Respiratory hospital admissions", US_national_yearly!$D:$AM, 14, FALSE) / VLOOKUP("LULUCF|SO2|Respiratory hospital admissions", US_national_yearly!$D:$AM, 10, FALSE), 1)</f>
        <v>6.0430534882960673E-5</v>
      </c>
      <c r="G12" s="7">
        <f>$B12 * IFERROR(VLOOKUP("LULUCF|SO2|Respiratory hospital admissions", US_national_yearly!$D:$AM, 15, FALSE) / VLOOKUP("LULUCF|SO2|Respiratory hospital admissions", US_national_yearly!$D:$AM, 10, FALSE), 1)</f>
        <v>6.0810139595853623E-5</v>
      </c>
      <c r="H12" s="7">
        <f>$B12 * IFERROR(VLOOKUP("LULUCF|SO2|Respiratory hospital admissions", US_national_yearly!$D:$AM, 16, FALSE) / VLOOKUP("LULUCF|SO2|Respiratory hospital admissions", US_national_yearly!$D:$AM, 10, FALSE), 1)</f>
        <v>6.1189744308746567E-5</v>
      </c>
      <c r="I12" s="7">
        <f>$B12 * IFERROR(VLOOKUP("LULUCF|SO2|Respiratory hospital admissions", US_national_yearly!$D:$AM, 17, FALSE) / VLOOKUP("LULUCF|SO2|Respiratory hospital admissions", US_national_yearly!$D:$AM, 10, FALSE), 1)</f>
        <v>6.1564079752964089E-5</v>
      </c>
      <c r="J12" s="7">
        <f>$B12 * IFERROR(VLOOKUP("LULUCF|SO2|Respiratory hospital admissions", US_national_yearly!$D:$AM, 18, FALSE) / VLOOKUP("LULUCF|SO2|Respiratory hospital admissions", US_national_yearly!$D:$AM, 10, FALSE), 1)</f>
        <v>6.1938415197181624E-5</v>
      </c>
      <c r="K12" s="7">
        <f>$B12 * IFERROR(VLOOKUP("LULUCF|SO2|Respiratory hospital admissions", US_national_yearly!$D:$AM, 19, FALSE) / VLOOKUP("LULUCF|SO2|Respiratory hospital admissions", US_national_yearly!$D:$AM, 10, FALSE), 1)</f>
        <v>6.2312750641399132E-5</v>
      </c>
      <c r="L12" s="7">
        <f>$B12 * IFERROR(VLOOKUP("LULUCF|SO2|Respiratory hospital admissions", US_national_yearly!$D:$AM, 20, FALSE) / VLOOKUP("LULUCF|SO2|Respiratory hospital admissions", US_national_yearly!$D:$AM, 10, FALSE), 1)</f>
        <v>6.2687086085616654E-5</v>
      </c>
      <c r="M12" s="7">
        <f>$B12 * IFERROR(VLOOKUP("LULUCF|SO2|Respiratory hospital admissions", US_national_yearly!$D:$AM, 21, FALSE) / VLOOKUP("LULUCF|SO2|Respiratory hospital admissions", US_national_yearly!$D:$AM, 10, FALSE), 1)</f>
        <v>6.3061421529834162E-5</v>
      </c>
      <c r="N12" s="7">
        <f>$B12 * IFERROR(VLOOKUP("LULUCF|SO2|Respiratory hospital admissions", US_national_yearly!$D:$AM, 22, FALSE) / VLOOKUP("LULUCF|SO2|Respiratory hospital admissions", US_national_yearly!$D:$AM, 10, FALSE), 1)</f>
        <v>6.3334674848902739E-5</v>
      </c>
      <c r="O12" s="7">
        <f>$B12 * IFERROR(VLOOKUP("LULUCF|SO2|Respiratory hospital admissions", US_national_yearly!$D:$AM, 23, FALSE) / VLOOKUP("LULUCF|SO2|Respiratory hospital admissions", US_national_yearly!$D:$AM, 10, FALSE), 1)</f>
        <v>6.3607928167971304E-5</v>
      </c>
      <c r="P12" s="7">
        <f>$B12 * IFERROR(VLOOKUP("LULUCF|SO2|Respiratory hospital admissions", US_national_yearly!$D:$AM, 24, FALSE) / VLOOKUP("LULUCF|SO2|Respiratory hospital admissions", US_national_yearly!$D:$AM, 10, FALSE), 1)</f>
        <v>6.3881181487039854E-5</v>
      </c>
      <c r="Q12" s="7">
        <f>$B12 * IFERROR(VLOOKUP("LULUCF|SO2|Respiratory hospital admissions", US_national_yearly!$D:$AM, 25, FALSE) / VLOOKUP("LULUCF|SO2|Respiratory hospital admissions", US_national_yearly!$D:$AM, 10, FALSE), 1)</f>
        <v>6.4154434806108432E-5</v>
      </c>
      <c r="R12" s="7">
        <f>$B12 * IFERROR(VLOOKUP("LULUCF|SO2|Respiratory hospital admissions", US_national_yearly!$D:$AM, 26, FALSE) / VLOOKUP("LULUCF|SO2|Respiratory hospital admissions", US_national_yearly!$D:$AM, 10, FALSE), 1)</f>
        <v>6.4427688125176996E-5</v>
      </c>
      <c r="S12" s="7">
        <f>$B12 * IFERROR(VLOOKUP("LULUCF|SO2|Respiratory hospital admissions", US_national_yearly!$D:$AM, 27, FALSE) / VLOOKUP("LULUCF|SO2|Respiratory hospital admissions", US_national_yearly!$D:$AM, 10, FALSE), 1)</f>
        <v>6.4688350941751829E-5</v>
      </c>
      <c r="T12" s="7">
        <f>$B12 * IFERROR(VLOOKUP("LULUCF|SO2|Respiratory hospital admissions", US_national_yearly!$D:$AM, 28, FALSE) / VLOOKUP("LULUCF|SO2|Respiratory hospital admissions", US_national_yearly!$D:$AM, 10, FALSE), 1)</f>
        <v>6.4949013758326649E-5</v>
      </c>
      <c r="U12" s="7">
        <f>$B12 * IFERROR(VLOOKUP("LULUCF|SO2|Respiratory hospital admissions", US_national_yearly!$D:$AM, 29, FALSE) / VLOOKUP("LULUCF|SO2|Respiratory hospital admissions", US_national_yearly!$D:$AM, 10, FALSE), 1)</f>
        <v>6.5209676574901483E-5</v>
      </c>
      <c r="V12" s="7">
        <f>$B12 * IFERROR(VLOOKUP("LULUCF|SO2|Respiratory hospital admissions", US_national_yearly!$D:$AM, 30, FALSE) / VLOOKUP("LULUCF|SO2|Respiratory hospital admissions", US_national_yearly!$D:$AM, 10, FALSE), 1)</f>
        <v>6.5470339391476303E-5</v>
      </c>
      <c r="W12" s="7">
        <f>$B12 * IFERROR(VLOOKUP("LULUCF|SO2|Respiratory hospital admissions", US_national_yearly!$D:$AM, 31, FALSE) / VLOOKUP("LULUCF|SO2|Respiratory hospital admissions", US_national_yearly!$D:$AM, 10, FALSE), 1)</f>
        <v>6.5731002208051136E-5</v>
      </c>
      <c r="X12" s="7">
        <f>$B12 * IFERROR(VLOOKUP("LULUCF|SO2|Respiratory hospital admissions", US_national_yearly!$D:$AM, 32, FALSE) / VLOOKUP("LULUCF|SO2|Respiratory hospital admissions", US_national_yearly!$D:$AM, 10, FALSE), 1)</f>
        <v>6.5978328425231995E-5</v>
      </c>
      <c r="Y12" s="7">
        <f>$B12 * IFERROR(VLOOKUP("LULUCF|SO2|Respiratory hospital admissions", US_national_yearly!$D:$AM, 33, FALSE) / VLOOKUP("LULUCF|SO2|Respiratory hospital admissions", US_national_yearly!$D:$AM, 10, FALSE), 1)</f>
        <v>6.6225654642412853E-5</v>
      </c>
      <c r="Z12" s="7">
        <f>$B12 * IFERROR(VLOOKUP("LULUCF|SO2|Respiratory hospital admissions", US_national_yearly!$D:$AM, 34, FALSE) / VLOOKUP("LULUCF|SO2|Respiratory hospital admissions", US_national_yearly!$D:$AM, 10, FALSE), 1)</f>
        <v>6.6472980859593711E-5</v>
      </c>
      <c r="AA12" s="7">
        <f>$B12 * IFERROR(VLOOKUP("LULUCF|SO2|Respiratory hospital admissions", US_national_yearly!$D:$AM, 35, FALSE) / VLOOKUP("LULUCF|SO2|Respiratory hospital admissions", US_national_yearly!$D:$AM, 10, FALSE), 1)</f>
        <v>6.672030707677457E-5</v>
      </c>
      <c r="AB12" s="7">
        <f>$B12 * IFERROR(VLOOKUP("LULUCF|SO2|Respiratory hospital admissions", US_national_yearly!$D:$AM, 36, FALSE) / VLOOKUP("LULUCF|SO2|Respiratory hospital admissions", US_national_yearly!$D:$AM, 10, FALSE), 1)</f>
        <v>6.6967633293955442E-5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3.4905448211431267E-4</v>
      </c>
      <c r="C13" s="7">
        <f>$B13 * IFERROR(VLOOKUP("LULUCF|SO2|Non-fatal heart attacks", US_national_yearly!$D:$AM, 11, FALSE) / VLOOKUP("LULUCF|SO2|Non-fatal heart attacks", US_national_yearly!$D:$AM, 10, FALSE), 1)</f>
        <v>3.5930145387379344E-4</v>
      </c>
      <c r="D13" s="7">
        <f>$B13 * IFERROR(VLOOKUP("LULUCF|SO2|Non-fatal heart attacks", US_national_yearly!$D:$AM, 12, FALSE) / VLOOKUP("LULUCF|SO2|Non-fatal heart attacks", US_national_yearly!$D:$AM, 10, FALSE), 1)</f>
        <v>3.6954842563327426E-4</v>
      </c>
      <c r="E13" s="7">
        <f>$B13 * IFERROR(VLOOKUP("LULUCF|SO2|Non-fatal heart attacks", US_national_yearly!$D:$AM, 13, FALSE) / VLOOKUP("LULUCF|SO2|Non-fatal heart attacks", US_national_yearly!$D:$AM, 10, FALSE), 1)</f>
        <v>3.7979539739275503E-4</v>
      </c>
      <c r="F13" s="7">
        <f>$B13 * IFERROR(VLOOKUP("LULUCF|SO2|Non-fatal heart attacks", US_national_yearly!$D:$AM, 14, FALSE) / VLOOKUP("LULUCF|SO2|Non-fatal heart attacks", US_national_yearly!$D:$AM, 10, FALSE), 1)</f>
        <v>3.9004236915223575E-4</v>
      </c>
      <c r="G13" s="7">
        <f>$B13 * IFERROR(VLOOKUP("LULUCF|SO2|Non-fatal heart attacks", US_national_yearly!$D:$AM, 15, FALSE) / VLOOKUP("LULUCF|SO2|Non-fatal heart attacks", US_national_yearly!$D:$AM, 10, FALSE), 1)</f>
        <v>3.997062139861206E-4</v>
      </c>
      <c r="H13" s="7">
        <f>$B13 * IFERROR(VLOOKUP("LULUCF|SO2|Non-fatal heart attacks", US_national_yearly!$D:$AM, 16, FALSE) / VLOOKUP("LULUCF|SO2|Non-fatal heart attacks", US_national_yearly!$D:$AM, 10, FALSE), 1)</f>
        <v>4.0937005882000539E-4</v>
      </c>
      <c r="I13" s="7">
        <f>$B13 * IFERROR(VLOOKUP("LULUCF|SO2|Non-fatal heart attacks", US_national_yearly!$D:$AM, 17, FALSE) / VLOOKUP("LULUCF|SO2|Non-fatal heart attacks", US_national_yearly!$D:$AM, 10, FALSE), 1)</f>
        <v>4.1714642443603755E-4</v>
      </c>
      <c r="J13" s="7">
        <f>$B13 * IFERROR(VLOOKUP("LULUCF|SO2|Non-fatal heart attacks", US_national_yearly!$D:$AM, 18, FALSE) / VLOOKUP("LULUCF|SO2|Non-fatal heart attacks", US_national_yearly!$D:$AM, 10, FALSE), 1)</f>
        <v>4.2492279005206982E-4</v>
      </c>
      <c r="K13" s="7">
        <f>$B13 * IFERROR(VLOOKUP("LULUCF|SO2|Non-fatal heart attacks", US_national_yearly!$D:$AM, 19, FALSE) / VLOOKUP("LULUCF|SO2|Non-fatal heart attacks", US_national_yearly!$D:$AM, 10, FALSE), 1)</f>
        <v>4.3269915566810198E-4</v>
      </c>
      <c r="L13" s="7">
        <f>$B13 * IFERROR(VLOOKUP("LULUCF|SO2|Non-fatal heart attacks", US_national_yearly!$D:$AM, 20, FALSE) / VLOOKUP("LULUCF|SO2|Non-fatal heart attacks", US_national_yearly!$D:$AM, 10, FALSE), 1)</f>
        <v>4.4047552128413431E-4</v>
      </c>
      <c r="M13" s="7">
        <f>$B13 * IFERROR(VLOOKUP("LULUCF|SO2|Non-fatal heart attacks", US_national_yearly!$D:$AM, 21, FALSE) / VLOOKUP("LULUCF|SO2|Non-fatal heart attacks", US_national_yearly!$D:$AM, 10, FALSE), 1)</f>
        <v>4.4825188690016658E-4</v>
      </c>
      <c r="N13" s="7">
        <f>$B13 * IFERROR(VLOOKUP("LULUCF|SO2|Non-fatal heart attacks", US_national_yearly!$D:$AM, 22, FALSE) / VLOOKUP("LULUCF|SO2|Non-fatal heart attacks", US_national_yearly!$D:$AM, 10, FALSE), 1)</f>
        <v>4.5330117504561779E-4</v>
      </c>
      <c r="O13" s="7">
        <f>$B13 * IFERROR(VLOOKUP("LULUCF|SO2|Non-fatal heart attacks", US_national_yearly!$D:$AM, 23, FALSE) / VLOOKUP("LULUCF|SO2|Non-fatal heart attacks", US_national_yearly!$D:$AM, 10, FALSE), 1)</f>
        <v>4.5835046319106916E-4</v>
      </c>
      <c r="P13" s="7">
        <f>$B13 * IFERROR(VLOOKUP("LULUCF|SO2|Non-fatal heart attacks", US_national_yearly!$D:$AM, 24, FALSE) / VLOOKUP("LULUCF|SO2|Non-fatal heart attacks", US_national_yearly!$D:$AM, 10, FALSE), 1)</f>
        <v>4.6339975133652059E-4</v>
      </c>
      <c r="Q13" s="7">
        <f>$B13 * IFERROR(VLOOKUP("LULUCF|SO2|Non-fatal heart attacks", US_national_yearly!$D:$AM, 25, FALSE) / VLOOKUP("LULUCF|SO2|Non-fatal heart attacks", US_national_yearly!$D:$AM, 10, FALSE), 1)</f>
        <v>4.6844903948197185E-4</v>
      </c>
      <c r="R13" s="7">
        <f>$B13 * IFERROR(VLOOKUP("LULUCF|SO2|Non-fatal heart attacks", US_national_yearly!$D:$AM, 26, FALSE) / VLOOKUP("LULUCF|SO2|Non-fatal heart attacks", US_national_yearly!$D:$AM, 10, FALSE), 1)</f>
        <v>4.7349832762742317E-4</v>
      </c>
      <c r="S13" s="7">
        <f>$B13 * IFERROR(VLOOKUP("LULUCF|SO2|Non-fatal heart attacks", US_national_yearly!$D:$AM, 27, FALSE) / VLOOKUP("LULUCF|SO2|Non-fatal heart attacks", US_national_yearly!$D:$AM, 10, FALSE), 1)</f>
        <v>4.7613453256698267E-4</v>
      </c>
      <c r="T13" s="7">
        <f>$B13 * IFERROR(VLOOKUP("LULUCF|SO2|Non-fatal heart attacks", US_national_yearly!$D:$AM, 28, FALSE) / VLOOKUP("LULUCF|SO2|Non-fatal heart attacks", US_national_yearly!$D:$AM, 10, FALSE), 1)</f>
        <v>4.7877073750654222E-4</v>
      </c>
      <c r="U13" s="7">
        <f>$B13 * IFERROR(VLOOKUP("LULUCF|SO2|Non-fatal heart attacks", US_national_yearly!$D:$AM, 29, FALSE) / VLOOKUP("LULUCF|SO2|Non-fatal heart attacks", US_national_yearly!$D:$AM, 10, FALSE), 1)</f>
        <v>4.8140694244610161E-4</v>
      </c>
      <c r="V13" s="7">
        <f>$B13 * IFERROR(VLOOKUP("LULUCF|SO2|Non-fatal heart attacks", US_national_yearly!$D:$AM, 30, FALSE) / VLOOKUP("LULUCF|SO2|Non-fatal heart attacks", US_national_yearly!$D:$AM, 10, FALSE), 1)</f>
        <v>4.8404314738566105E-4</v>
      </c>
      <c r="W13" s="7">
        <f>$B13 * IFERROR(VLOOKUP("LULUCF|SO2|Non-fatal heart attacks", US_national_yearly!$D:$AM, 31, FALSE) / VLOOKUP("LULUCF|SO2|Non-fatal heart attacks", US_national_yearly!$D:$AM, 10, FALSE), 1)</f>
        <v>4.8667935232522065E-4</v>
      </c>
      <c r="X13" s="7">
        <f>$B13 * IFERROR(VLOOKUP("LULUCF|SO2|Non-fatal heart attacks", US_national_yearly!$D:$AM, 32, FALSE) / VLOOKUP("LULUCF|SO2|Non-fatal heart attacks", US_national_yearly!$D:$AM, 10, FALSE), 1)</f>
        <v>4.8866945645558942E-4</v>
      </c>
      <c r="Y13" s="7">
        <f>$B13 * IFERROR(VLOOKUP("LULUCF|SO2|Non-fatal heart attacks", US_national_yearly!$D:$AM, 33, FALSE) / VLOOKUP("LULUCF|SO2|Non-fatal heart attacks", US_national_yearly!$D:$AM, 10, FALSE), 1)</f>
        <v>4.9065956058595836E-4</v>
      </c>
      <c r="Z13" s="7">
        <f>$B13 * IFERROR(VLOOKUP("LULUCF|SO2|Non-fatal heart attacks", US_national_yearly!$D:$AM, 34, FALSE) / VLOOKUP("LULUCF|SO2|Non-fatal heart attacks", US_national_yearly!$D:$AM, 10, FALSE), 1)</f>
        <v>4.9264966471632718E-4</v>
      </c>
      <c r="AA13" s="7">
        <f>$B13 * IFERROR(VLOOKUP("LULUCF|SO2|Non-fatal heart attacks", US_national_yearly!$D:$AM, 35, FALSE) / VLOOKUP("LULUCF|SO2|Non-fatal heart attacks", US_national_yearly!$D:$AM, 10, FALSE), 1)</f>
        <v>4.94639768846696E-4</v>
      </c>
      <c r="AB13" s="7">
        <f>$B13 * IFERROR(VLOOKUP("LULUCF|SO2|Non-fatal heart attacks", US_national_yearly!$D:$AM, 36, FALSE) / VLOOKUP("LULUCF|SO2|Non-fatal heart attacks", US_national_yearly!$D:$AM, 10, FALSE), 1)</f>
        <v>4.9662987297706483E-4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7.518302101263527E-2</v>
      </c>
      <c r="C14" s="7">
        <f>$B14 * IFERROR(VLOOKUP("LULUCF|SO2|Minor restricted activity days", US_national_yearly!$D:$AM, 11, FALSE) / VLOOKUP("LULUCF|SO2|Minor restricted activity days", US_national_yearly!$D:$AM, 10, FALSE), 1)</f>
        <v>7.5372532358202751E-2</v>
      </c>
      <c r="D14" s="7">
        <f>$B14 * IFERROR(VLOOKUP("LULUCF|SO2|Minor restricted activity days", US_national_yearly!$D:$AM, 12, FALSE) / VLOOKUP("LULUCF|SO2|Minor restricted activity days", US_national_yearly!$D:$AM, 10, FALSE), 1)</f>
        <v>7.5562043703770204E-2</v>
      </c>
      <c r="E14" s="7">
        <f>$B14 * IFERROR(VLOOKUP("LULUCF|SO2|Minor restricted activity days", US_national_yearly!$D:$AM, 13, FALSE) / VLOOKUP("LULUCF|SO2|Minor restricted activity days", US_national_yearly!$D:$AM, 10, FALSE), 1)</f>
        <v>7.5751555049337685E-2</v>
      </c>
      <c r="F14" s="7">
        <f>$B14 * IFERROR(VLOOKUP("LULUCF|SO2|Minor restricted activity days", US_national_yearly!$D:$AM, 14, FALSE) / VLOOKUP("LULUCF|SO2|Minor restricted activity days", US_national_yearly!$D:$AM, 10, FALSE), 1)</f>
        <v>7.5941066394905152E-2</v>
      </c>
      <c r="G14" s="7">
        <f>$B14 * IFERROR(VLOOKUP("LULUCF|SO2|Minor restricted activity days", US_national_yearly!$D:$AM, 15, FALSE) / VLOOKUP("LULUCF|SO2|Minor restricted activity days", US_national_yearly!$D:$AM, 10, FALSE), 1)</f>
        <v>7.622000847788192E-2</v>
      </c>
      <c r="H14" s="7">
        <f>$B14 * IFERROR(VLOOKUP("LULUCF|SO2|Minor restricted activity days", US_national_yearly!$D:$AM, 16, FALSE) / VLOOKUP("LULUCF|SO2|Minor restricted activity days", US_national_yearly!$D:$AM, 10, FALSE), 1)</f>
        <v>7.6498950560858689E-2</v>
      </c>
      <c r="I14" s="7">
        <f>$B14 * IFERROR(VLOOKUP("LULUCF|SO2|Minor restricted activity days", US_national_yearly!$D:$AM, 17, FALSE) / VLOOKUP("LULUCF|SO2|Minor restricted activity days", US_national_yearly!$D:$AM, 10, FALSE), 1)</f>
        <v>7.6974660282927126E-2</v>
      </c>
      <c r="J14" s="7">
        <f>$B14 * IFERROR(VLOOKUP("LULUCF|SO2|Minor restricted activity days", US_national_yearly!$D:$AM, 18, FALSE) / VLOOKUP("LULUCF|SO2|Minor restricted activity days", US_national_yearly!$D:$AM, 10, FALSE), 1)</f>
        <v>7.7450370004995564E-2</v>
      </c>
      <c r="K14" s="7">
        <f>$B14 * IFERROR(VLOOKUP("LULUCF|SO2|Minor restricted activity days", US_national_yearly!$D:$AM, 19, FALSE) / VLOOKUP("LULUCF|SO2|Minor restricted activity days", US_national_yearly!$D:$AM, 10, FALSE), 1)</f>
        <v>7.7926079727064029E-2</v>
      </c>
      <c r="L14" s="7">
        <f>$B14 * IFERROR(VLOOKUP("LULUCF|SO2|Minor restricted activity days", US_national_yearly!$D:$AM, 20, FALSE) / VLOOKUP("LULUCF|SO2|Minor restricted activity days", US_national_yearly!$D:$AM, 10, FALSE), 1)</f>
        <v>7.8401789449132467E-2</v>
      </c>
      <c r="M14" s="7">
        <f>$B14 * IFERROR(VLOOKUP("LULUCF|SO2|Minor restricted activity days", US_national_yearly!$D:$AM, 21, FALSE) / VLOOKUP("LULUCF|SO2|Minor restricted activity days", US_national_yearly!$D:$AM, 10, FALSE), 1)</f>
        <v>7.8877499171200904E-2</v>
      </c>
      <c r="N14" s="7">
        <f>$B14 * IFERROR(VLOOKUP("LULUCF|SO2|Minor restricted activity days", US_national_yearly!$D:$AM, 22, FALSE) / VLOOKUP("LULUCF|SO2|Minor restricted activity days", US_national_yearly!$D:$AM, 10, FALSE), 1)</f>
        <v>7.9528193739094519E-2</v>
      </c>
      <c r="O14" s="7">
        <f>$B14 * IFERROR(VLOOKUP("LULUCF|SO2|Minor restricted activity days", US_national_yearly!$D:$AM, 23, FALSE) / VLOOKUP("LULUCF|SO2|Minor restricted activity days", US_national_yearly!$D:$AM, 10, FALSE), 1)</f>
        <v>8.0178888306988133E-2</v>
      </c>
      <c r="P14" s="7">
        <f>$B14 * IFERROR(VLOOKUP("LULUCF|SO2|Minor restricted activity days", US_national_yearly!$D:$AM, 24, FALSE) / VLOOKUP("LULUCF|SO2|Minor restricted activity days", US_national_yearly!$D:$AM, 10, FALSE), 1)</f>
        <v>8.0829582874881747E-2</v>
      </c>
      <c r="Q14" s="7">
        <f>$B14 * IFERROR(VLOOKUP("LULUCF|SO2|Minor restricted activity days", US_national_yearly!$D:$AM, 25, FALSE) / VLOOKUP("LULUCF|SO2|Minor restricted activity days", US_national_yearly!$D:$AM, 10, FALSE), 1)</f>
        <v>8.1480277442775362E-2</v>
      </c>
      <c r="R14" s="7">
        <f>$B14 * IFERROR(VLOOKUP("LULUCF|SO2|Minor restricted activity days", US_national_yearly!$D:$AM, 26, FALSE) / VLOOKUP("LULUCF|SO2|Minor restricted activity days", US_national_yearly!$D:$AM, 10, FALSE), 1)</f>
        <v>8.2130972010668976E-2</v>
      </c>
      <c r="S14" s="7">
        <f>$B14 * IFERROR(VLOOKUP("LULUCF|SO2|Minor restricted activity days", US_national_yearly!$D:$AM, 27, FALSE) / VLOOKUP("LULUCF|SO2|Minor restricted activity days", US_national_yearly!$D:$AM, 10, FALSE), 1)</f>
        <v>8.279441880866778E-2</v>
      </c>
      <c r="T14" s="7">
        <f>$B14 * IFERROR(VLOOKUP("LULUCF|SO2|Minor restricted activity days", US_national_yearly!$D:$AM, 28, FALSE) / VLOOKUP("LULUCF|SO2|Minor restricted activity days", US_national_yearly!$D:$AM, 10, FALSE), 1)</f>
        <v>8.345786560666657E-2</v>
      </c>
      <c r="U14" s="7">
        <f>$B14 * IFERROR(VLOOKUP("LULUCF|SO2|Minor restricted activity days", US_national_yearly!$D:$AM, 29, FALSE) / VLOOKUP("LULUCF|SO2|Minor restricted activity days", US_national_yearly!$D:$AM, 10, FALSE), 1)</f>
        <v>8.4121312404665374E-2</v>
      </c>
      <c r="V14" s="7">
        <f>$B14 * IFERROR(VLOOKUP("LULUCF|SO2|Minor restricted activity days", US_national_yearly!$D:$AM, 30, FALSE) / VLOOKUP("LULUCF|SO2|Minor restricted activity days", US_national_yearly!$D:$AM, 10, FALSE), 1)</f>
        <v>8.4784759202664164E-2</v>
      </c>
      <c r="W14" s="7">
        <f>$B14 * IFERROR(VLOOKUP("LULUCF|SO2|Minor restricted activity days", US_national_yearly!$D:$AM, 31, FALSE) / VLOOKUP("LULUCF|SO2|Minor restricted activity days", US_national_yearly!$D:$AM, 10, FALSE), 1)</f>
        <v>8.5448206000662982E-2</v>
      </c>
      <c r="X14" s="7">
        <f>$B14 * IFERROR(VLOOKUP("LULUCF|SO2|Minor restricted activity days", US_national_yearly!$D:$AM, 32, FALSE) / VLOOKUP("LULUCF|SO2|Minor restricted activity days", US_national_yearly!$D:$AM, 10, FALSE), 1)</f>
        <v>8.6031654590212836E-2</v>
      </c>
      <c r="Y14" s="7">
        <f>$B14 * IFERROR(VLOOKUP("LULUCF|SO2|Minor restricted activity days", US_national_yearly!$D:$AM, 33, FALSE) / VLOOKUP("LULUCF|SO2|Minor restricted activity days", US_national_yearly!$D:$AM, 10, FALSE), 1)</f>
        <v>8.661510317976269E-2</v>
      </c>
      <c r="Z14" s="7">
        <f>$B14 * IFERROR(VLOOKUP("LULUCF|SO2|Minor restricted activity days", US_national_yearly!$D:$AM, 34, FALSE) / VLOOKUP("LULUCF|SO2|Minor restricted activity days", US_national_yearly!$D:$AM, 10, FALSE), 1)</f>
        <v>8.7198551769312571E-2</v>
      </c>
      <c r="AA14" s="7">
        <f>$B14 * IFERROR(VLOOKUP("LULUCF|SO2|Minor restricted activity days", US_national_yearly!$D:$AM, 35, FALSE) / VLOOKUP("LULUCF|SO2|Minor restricted activity days", US_national_yearly!$D:$AM, 10, FALSE), 1)</f>
        <v>8.7782000358862425E-2</v>
      </c>
      <c r="AB14" s="7">
        <f>$B14 * IFERROR(VLOOKUP("LULUCF|SO2|Minor restricted activity days", US_national_yearly!$D:$AM, 36, FALSE) / VLOOKUP("LULUCF|SO2|Minor restricted activity days", US_national_yearly!$D:$AM, 10, FALSE), 1)</f>
        <v>8.8365448948412306E-2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1.2691952528793101E-2</v>
      </c>
      <c r="C15" s="7">
        <f>$B15 * IFERROR(VLOOKUP("LULUCF|SO2|Work loss days", US_national_yearly!$D:$AM, 11, FALSE) / VLOOKUP("LULUCF|SO2|Work loss days", US_national_yearly!$D:$AM, 10, FALSE), 1)</f>
        <v>1.2733072437778967E-2</v>
      </c>
      <c r="D15" s="7">
        <f>$B15 * IFERROR(VLOOKUP("LULUCF|SO2|Work loss days", US_national_yearly!$D:$AM, 12, FALSE) / VLOOKUP("LULUCF|SO2|Work loss days", US_national_yearly!$D:$AM, 10, FALSE), 1)</f>
        <v>1.2774192346764834E-2</v>
      </c>
      <c r="E15" s="7">
        <f>$B15 * IFERROR(VLOOKUP("LULUCF|SO2|Work loss days", US_national_yearly!$D:$AM, 13, FALSE) / VLOOKUP("LULUCF|SO2|Work loss days", US_national_yearly!$D:$AM, 10, FALSE), 1)</f>
        <v>1.2815312255750701E-2</v>
      </c>
      <c r="F15" s="7">
        <f>$B15 * IFERROR(VLOOKUP("LULUCF|SO2|Work loss days", US_national_yearly!$D:$AM, 14, FALSE) / VLOOKUP("LULUCF|SO2|Work loss days", US_national_yearly!$D:$AM, 10, FALSE), 1)</f>
        <v>1.2856432164736566E-2</v>
      </c>
      <c r="G15" s="7">
        <f>$B15 * IFERROR(VLOOKUP("LULUCF|SO2|Work loss days", US_national_yearly!$D:$AM, 15, FALSE) / VLOOKUP("LULUCF|SO2|Work loss days", US_national_yearly!$D:$AM, 10, FALSE), 1)</f>
        <v>1.2910160357169048E-2</v>
      </c>
      <c r="H15" s="7">
        <f>$B15 * IFERROR(VLOOKUP("LULUCF|SO2|Work loss days", US_national_yearly!$D:$AM, 16, FALSE) / VLOOKUP("LULUCF|SO2|Work loss days", US_national_yearly!$D:$AM, 10, FALSE), 1)</f>
        <v>1.2963888549601526E-2</v>
      </c>
      <c r="I15" s="7">
        <f>$B15 * IFERROR(VLOOKUP("LULUCF|SO2|Work loss days", US_national_yearly!$D:$AM, 17, FALSE) / VLOOKUP("LULUCF|SO2|Work loss days", US_national_yearly!$D:$AM, 10, FALSE), 1)</f>
        <v>1.3042485682640751E-2</v>
      </c>
      <c r="J15" s="7">
        <f>$B15 * IFERROR(VLOOKUP("LULUCF|SO2|Work loss days", US_national_yearly!$D:$AM, 18, FALSE) / VLOOKUP("LULUCF|SO2|Work loss days", US_national_yearly!$D:$AM, 10, FALSE), 1)</f>
        <v>1.3121082815679972E-2</v>
      </c>
      <c r="K15" s="7">
        <f>$B15 * IFERROR(VLOOKUP("LULUCF|SO2|Work loss days", US_national_yearly!$D:$AM, 19, FALSE) / VLOOKUP("LULUCF|SO2|Work loss days", US_national_yearly!$D:$AM, 10, FALSE), 1)</f>
        <v>1.3199679948719198E-2</v>
      </c>
      <c r="L15" s="7">
        <f>$B15 * IFERROR(VLOOKUP("LULUCF|SO2|Work loss days", US_national_yearly!$D:$AM, 20, FALSE) / VLOOKUP("LULUCF|SO2|Work loss days", US_national_yearly!$D:$AM, 10, FALSE), 1)</f>
        <v>1.3278277081758423E-2</v>
      </c>
      <c r="M15" s="7">
        <f>$B15 * IFERROR(VLOOKUP("LULUCF|SO2|Work loss days", US_national_yearly!$D:$AM, 21, FALSE) / VLOOKUP("LULUCF|SO2|Work loss days", US_national_yearly!$D:$AM, 10, FALSE), 1)</f>
        <v>1.3356874214797648E-2</v>
      </c>
      <c r="N15" s="7">
        <f>$B15 * IFERROR(VLOOKUP("LULUCF|SO2|Work loss days", US_national_yearly!$D:$AM, 22, FALSE) / VLOOKUP("LULUCF|SO2|Work loss days", US_national_yearly!$D:$AM, 10, FALSE), 1)</f>
        <v>1.3455422282917986E-2</v>
      </c>
      <c r="O15" s="7">
        <f>$B15 * IFERROR(VLOOKUP("LULUCF|SO2|Work loss days", US_national_yearly!$D:$AM, 23, FALSE) / VLOOKUP("LULUCF|SO2|Work loss days", US_national_yearly!$D:$AM, 10, FALSE), 1)</f>
        <v>1.3553970351038324E-2</v>
      </c>
      <c r="P15" s="7">
        <f>$B15 * IFERROR(VLOOKUP("LULUCF|SO2|Work loss days", US_national_yearly!$D:$AM, 24, FALSE) / VLOOKUP("LULUCF|SO2|Work loss days", US_national_yearly!$D:$AM, 10, FALSE), 1)</f>
        <v>1.365251841915866E-2</v>
      </c>
      <c r="Q15" s="7">
        <f>$B15 * IFERROR(VLOOKUP("LULUCF|SO2|Work loss days", US_national_yearly!$D:$AM, 25, FALSE) / VLOOKUP("LULUCF|SO2|Work loss days", US_national_yearly!$D:$AM, 10, FALSE), 1)</f>
        <v>1.3751066487278998E-2</v>
      </c>
      <c r="R15" s="7">
        <f>$B15 * IFERROR(VLOOKUP("LULUCF|SO2|Work loss days", US_national_yearly!$D:$AM, 26, FALSE) / VLOOKUP("LULUCF|SO2|Work loss days", US_national_yearly!$D:$AM, 10, FALSE), 1)</f>
        <v>1.3849614555399336E-2</v>
      </c>
      <c r="S15" s="7">
        <f>$B15 * IFERROR(VLOOKUP("LULUCF|SO2|Work loss days", US_national_yearly!$D:$AM, 27, FALSE) / VLOOKUP("LULUCF|SO2|Work loss days", US_national_yearly!$D:$AM, 10, FALSE), 1)</f>
        <v>1.3959741696614982E-2</v>
      </c>
      <c r="T15" s="7">
        <f>$B15 * IFERROR(VLOOKUP("LULUCF|SO2|Work loss days", US_national_yearly!$D:$AM, 28, FALSE) / VLOOKUP("LULUCF|SO2|Work loss days", US_national_yearly!$D:$AM, 10, FALSE), 1)</f>
        <v>1.4069868837830631E-2</v>
      </c>
      <c r="U15" s="7">
        <f>$B15 * IFERROR(VLOOKUP("LULUCF|SO2|Work loss days", US_national_yearly!$D:$AM, 29, FALSE) / VLOOKUP("LULUCF|SO2|Work loss days", US_national_yearly!$D:$AM, 10, FALSE), 1)</f>
        <v>1.4179995979046277E-2</v>
      </c>
      <c r="V15" s="7">
        <f>$B15 * IFERROR(VLOOKUP("LULUCF|SO2|Work loss days", US_national_yearly!$D:$AM, 30, FALSE) / VLOOKUP("LULUCF|SO2|Work loss days", US_national_yearly!$D:$AM, 10, FALSE), 1)</f>
        <v>1.4290123120261924E-2</v>
      </c>
      <c r="W15" s="7">
        <f>$B15 * IFERROR(VLOOKUP("LULUCF|SO2|Work loss days", US_national_yearly!$D:$AM, 31, FALSE) / VLOOKUP("LULUCF|SO2|Work loss days", US_national_yearly!$D:$AM, 10, FALSE), 1)</f>
        <v>1.4400250261477572E-2</v>
      </c>
      <c r="X15" s="7">
        <f>$B15 * IFERROR(VLOOKUP("LULUCF|SO2|Work loss days", US_national_yearly!$D:$AM, 32, FALSE) / VLOOKUP("LULUCF|SO2|Work loss days", US_national_yearly!$D:$AM, 10, FALSE), 1)</f>
        <v>1.4499129254736816E-2</v>
      </c>
      <c r="Y15" s="7">
        <f>$B15 * IFERROR(VLOOKUP("LULUCF|SO2|Work loss days", US_national_yearly!$D:$AM, 33, FALSE) / VLOOKUP("LULUCF|SO2|Work loss days", US_national_yearly!$D:$AM, 10, FALSE), 1)</f>
        <v>1.4598008247996064E-2</v>
      </c>
      <c r="Z15" s="7">
        <f>$B15 * IFERROR(VLOOKUP("LULUCF|SO2|Work loss days", US_national_yearly!$D:$AM, 34, FALSE) / VLOOKUP("LULUCF|SO2|Work loss days", US_national_yearly!$D:$AM, 10, FALSE), 1)</f>
        <v>1.4696887241255311E-2</v>
      </c>
      <c r="AA15" s="7">
        <f>$B15 * IFERROR(VLOOKUP("LULUCF|SO2|Work loss days", US_national_yearly!$D:$AM, 35, FALSE) / VLOOKUP("LULUCF|SO2|Work loss days", US_national_yearly!$D:$AM, 10, FALSE), 1)</f>
        <v>1.4795766234514559E-2</v>
      </c>
      <c r="AB15" s="7">
        <f>$B15 * IFERROR(VLOOKUP("LULUCF|SO2|Work loss days", US_national_yearly!$D:$AM, 36, FALSE) / VLOOKUP("LULUCF|SO2|Work loss days", US_national_yearly!$D:$AM, 10, FALSE), 1)</f>
        <v>1.4894645227773805E-2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8.6411613774569794E-5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8.9025031881627867E-5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9.163844998868594E-5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9.4251868095744E-5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9.6865286202802101E-5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9.9368692252143156E-5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1.0187209830148422E-4</v>
      </c>
      <c r="I17" s="7">
        <f>$B17 * IFERROR(VLOOKUP("LULUCF|SO2|Cardiovascular hospital admissions", US_national_yearly!$D:$AM, 17, FALSE) / VLOOKUP("LULUCF|SO2|Cardiovascular hospital admissions", US_national_yearly!$D:$AM, 10, FALSE), 1)</f>
        <v>1.0401702875034369E-4</v>
      </c>
      <c r="J17" s="7">
        <f>$B17 * IFERROR(VLOOKUP("LULUCF|SO2|Cardiovascular hospital admissions", US_national_yearly!$D:$AM, 18, FALSE) / VLOOKUP("LULUCF|SO2|Cardiovascular hospital admissions", US_national_yearly!$D:$AM, 10, FALSE), 1)</f>
        <v>1.0616195919920315E-4</v>
      </c>
      <c r="K17" s="7">
        <f>$B17 * IFERROR(VLOOKUP("LULUCF|SO2|Cardiovascular hospital admissions", US_national_yearly!$D:$AM, 19, FALSE) / VLOOKUP("LULUCF|SO2|Cardiovascular hospital admissions", US_national_yearly!$D:$AM, 10, FALSE), 1)</f>
        <v>1.0830688964806262E-4</v>
      </c>
      <c r="L17" s="7">
        <f>$B17 * IFERROR(VLOOKUP("LULUCF|SO2|Cardiovascular hospital admissions", US_national_yearly!$D:$AM, 20, FALSE) / VLOOKUP("LULUCF|SO2|Cardiovascular hospital admissions", US_national_yearly!$D:$AM, 10, FALSE), 1)</f>
        <v>1.1045182009692208E-4</v>
      </c>
      <c r="M17" s="7">
        <f>$B17 * IFERROR(VLOOKUP("LULUCF|SO2|Cardiovascular hospital admissions", US_national_yearly!$D:$AM, 21, FALSE) / VLOOKUP("LULUCF|SO2|Cardiovascular hospital admissions", US_national_yearly!$D:$AM, 10, FALSE), 1)</f>
        <v>1.1259675054578153E-4</v>
      </c>
      <c r="N17" s="7">
        <f>$B17 * IFERROR(VLOOKUP("LULUCF|SO2|Cardiovascular hospital admissions", US_national_yearly!$D:$AM, 22, FALSE) / VLOOKUP("LULUCF|SO2|Cardiovascular hospital admissions", US_national_yearly!$D:$AM, 10, FALSE), 1)</f>
        <v>1.140376552141982E-4</v>
      </c>
      <c r="O17" s="7">
        <f>$B17 * IFERROR(VLOOKUP("LULUCF|SO2|Cardiovascular hospital admissions", US_national_yearly!$D:$AM, 23, FALSE) / VLOOKUP("LULUCF|SO2|Cardiovascular hospital admissions", US_national_yearly!$D:$AM, 10, FALSE), 1)</f>
        <v>1.1547855988261483E-4</v>
      </c>
      <c r="P17" s="7">
        <f>$B17 * IFERROR(VLOOKUP("LULUCF|SO2|Cardiovascular hospital admissions", US_national_yearly!$D:$AM, 24, FALSE) / VLOOKUP("LULUCF|SO2|Cardiovascular hospital admissions", US_national_yearly!$D:$AM, 10, FALSE), 1)</f>
        <v>1.1691946455103148E-4</v>
      </c>
      <c r="Q17" s="7">
        <f>$B17 * IFERROR(VLOOKUP("LULUCF|SO2|Cardiovascular hospital admissions", US_national_yearly!$D:$AM, 25, FALSE) / VLOOKUP("LULUCF|SO2|Cardiovascular hospital admissions", US_national_yearly!$D:$AM, 10, FALSE), 1)</f>
        <v>1.1836036921944812E-4</v>
      </c>
      <c r="R17" s="7">
        <f>$B17 * IFERROR(VLOOKUP("LULUCF|SO2|Cardiovascular hospital admissions", US_national_yearly!$D:$AM, 26, FALSE) / VLOOKUP("LULUCF|SO2|Cardiovascular hospital admissions", US_national_yearly!$D:$AM, 10, FALSE), 1)</f>
        <v>1.1980127388786478E-4</v>
      </c>
      <c r="S17" s="7">
        <f>$B17 * IFERROR(VLOOKUP("LULUCF|SO2|Cardiovascular hospital admissions", US_national_yearly!$D:$AM, 27, FALSE) / VLOOKUP("LULUCF|SO2|Cardiovascular hospital admissions", US_national_yearly!$D:$AM, 10, FALSE), 1)</f>
        <v>1.2055908715094372E-4</v>
      </c>
      <c r="T17" s="7">
        <f>$B17 * IFERROR(VLOOKUP("LULUCF|SO2|Cardiovascular hospital admissions", US_national_yearly!$D:$AM, 28, FALSE) / VLOOKUP("LULUCF|SO2|Cardiovascular hospital admissions", US_national_yearly!$D:$AM, 10, FALSE), 1)</f>
        <v>1.2131690041402267E-4</v>
      </c>
      <c r="U17" s="7">
        <f>$B17 * IFERROR(VLOOKUP("LULUCF|SO2|Cardiovascular hospital admissions", US_national_yearly!$D:$AM, 29, FALSE) / VLOOKUP("LULUCF|SO2|Cardiovascular hospital admissions", US_national_yearly!$D:$AM, 10, FALSE), 1)</f>
        <v>1.2207471367710161E-4</v>
      </c>
      <c r="V17" s="7">
        <f>$B17 * IFERROR(VLOOKUP("LULUCF|SO2|Cardiovascular hospital admissions", US_national_yearly!$D:$AM, 30, FALSE) / VLOOKUP("LULUCF|SO2|Cardiovascular hospital admissions", US_national_yearly!$D:$AM, 10, FALSE), 1)</f>
        <v>1.2283252694018056E-4</v>
      </c>
      <c r="W17" s="7">
        <f>$B17 * IFERROR(VLOOKUP("LULUCF|SO2|Cardiovascular hospital admissions", US_national_yearly!$D:$AM, 31, FALSE) / VLOOKUP("LULUCF|SO2|Cardiovascular hospital admissions", US_national_yearly!$D:$AM, 10, FALSE), 1)</f>
        <v>1.235903402032595E-4</v>
      </c>
      <c r="X17" s="7">
        <f>$B17 * IFERROR(VLOOKUP("LULUCF|SO2|Cardiovascular hospital admissions", US_national_yearly!$D:$AM, 32, FALSE) / VLOOKUP("LULUCF|SO2|Cardiovascular hospital admissions", US_national_yearly!$D:$AM, 10, FALSE), 1)</f>
        <v>1.240990852981569E-4</v>
      </c>
      <c r="Y17" s="7">
        <f>$B17 * IFERROR(VLOOKUP("LULUCF|SO2|Cardiovascular hospital admissions", US_national_yearly!$D:$AM, 33, FALSE) / VLOOKUP("LULUCF|SO2|Cardiovascular hospital admissions", US_national_yearly!$D:$AM, 10, FALSE), 1)</f>
        <v>1.2460783039305433E-4</v>
      </c>
      <c r="Z17" s="7">
        <f>$B17 * IFERROR(VLOOKUP("LULUCF|SO2|Cardiovascular hospital admissions", US_national_yearly!$D:$AM, 34, FALSE) / VLOOKUP("LULUCF|SO2|Cardiovascular hospital admissions", US_national_yearly!$D:$AM, 10, FALSE), 1)</f>
        <v>1.2511657548795174E-4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1.256253205828492E-4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1.261340656777466E-4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2026-06-15T17:17:18Z</dcterms:modified>
</cp:coreProperties>
</file>