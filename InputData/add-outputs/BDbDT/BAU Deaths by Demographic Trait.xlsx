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97141535-C5B5-4F6C-ACAF-5B0A1DA22466}"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<sst xmlns="http://schemas.openxmlformats.org/spreadsheetml/2006/main" count="5677" uniqueCount="335">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</sst>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165</v>
      </c>
    </row>
    <row r="2" spans="1:2" x14ac:dyDescent="0.25">
      <c r="A2" s="3" t="s">
        <v>2</v>
      </c>
      <c r="B2" s="4" t="str">
        <f>IFERROR(INDEX(Geography!B:B, MATCH($B$1, Geography!C:C, 0)), "")</f>
        <v>TN</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3545748</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0.98954381309682138</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3682002</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1.0102802582072947</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5649772</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1.0401953299637958</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1187324</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1.2024830552338703</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164855</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0.35323516290898105</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225799</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0.65983917857635743</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577903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0.40973799260564542</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6649847</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7227750</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1.1431099748269171</v>
      </c>
    </row>
    <row r="12" spans="1:28" x14ac:dyDescent="0.25">
      <c r="A12" s="4" t="s">
        <v>319</v>
      </c>
    </row>
    <row r="13" spans="1:28" x14ac:dyDescent="0.25">
      <c r="A13" s="4" t="s">
        <v>320</v>
      </c>
      <c r="B13" s="37">
        <f>INDEX(Census_pop_2020_2025!G:G, MATCH("."&amp;About!$B$1, Census_pop_2020_2025!A:A, 0))</f>
        <v>7251291</v>
      </c>
      <c r="C13" s="37">
        <f>INDEX(Census_pop_2020_2025!H:H, MATCH("."&amp;About!$B$1, Census_pop_2020_2025!A:A, 0))</f>
        <v>7315076</v>
      </c>
      <c r="D13" s="37">
        <f>INDEX(Census_pop_2020_2025!H:H, MATCH("."&amp;About!$B$1, Census_pop_2020_2025!A:A, 0))+0.2*(INDEX(Cooper_pop_2030_2050!D:D, MATCH(About!$B$1, Cooper_pop_2030_2050!B:B, 0))-INDEX(Census_pop_2020_2025!H:H, MATCH("."&amp;About!$B$1, Census_pop_2020_2025!A:A, 0)))</f>
        <v>7323964.5833031051</v>
      </c>
      <c r="E13" s="37">
        <f>INDEX(Census_pop_2020_2025!H:H, MATCH("."&amp;About!$B$1, Census_pop_2020_2025!A:A, 0))+0.4*(INDEX(Cooper_pop_2030_2050!D:D, MATCH(About!$B$1, Cooper_pop_2030_2050!B:B, 0))-INDEX(Census_pop_2020_2025!H:H, MATCH("."&amp;About!$B$1, Census_pop_2020_2025!A:A, 0)))</f>
        <v>7332853.1666062092</v>
      </c>
      <c r="F13" s="37">
        <f>INDEX(Census_pop_2020_2025!H:H, MATCH("."&amp;About!$B$1, Census_pop_2020_2025!A:A, 0))+0.6*(INDEX(Cooper_pop_2030_2050!D:D, MATCH(About!$B$1, Cooper_pop_2030_2050!B:B, 0))-INDEX(Census_pop_2020_2025!H:H, MATCH("."&amp;About!$B$1, Census_pop_2020_2025!A:A, 0)))</f>
        <v>7341741.7499093143</v>
      </c>
      <c r="G13" s="37">
        <f>INDEX(Census_pop_2020_2025!H:H, MATCH("."&amp;About!$B$1, Census_pop_2020_2025!A:A, 0))+0.8*(INDEX(Cooper_pop_2030_2050!D:D, MATCH(About!$B$1, Cooper_pop_2030_2050!B:B, 0))-INDEX(Census_pop_2020_2025!H:H, MATCH("."&amp;About!$B$1, Census_pop_2020_2025!A:A, 0)))</f>
        <v>7350630.3332124185</v>
      </c>
      <c r="H13" s="37">
        <f>INDEX(Cooper_pop_2030_2050!D:D, MATCH(About!$B$1, Cooper_pop_2030_2050!B:B, 0))</f>
        <v>7359518.9165155236</v>
      </c>
      <c r="I13" s="37">
        <f>INDEX(Cooper_pop_2030_2050!D:D, MATCH(About!$B$1, Cooper_pop_2030_2050!B:B, 0))+0.1*(INDEX(Cooper_pop_2030_2050!E:E, MATCH(About!$B$1, Cooper_pop_2030_2050!B:B, 0))-INDEX(Cooper_pop_2030_2050!D:D, MATCH(About!$B$1, Cooper_pop_2030_2050!B:B, 0)))</f>
        <v>7394114.0283095893</v>
      </c>
      <c r="J13" s="37">
        <f>INDEX(Cooper_pop_2030_2050!D:D, MATCH(About!$B$1, Cooper_pop_2030_2050!B:B, 0))+0.2*(INDEX(Cooper_pop_2030_2050!E:E, MATCH(About!$B$1, Cooper_pop_2030_2050!B:B, 0))-INDEX(Cooper_pop_2030_2050!D:D, MATCH(About!$B$1, Cooper_pop_2030_2050!B:B, 0)))</f>
        <v>7428709.1401036549</v>
      </c>
      <c r="K13" s="37">
        <f>INDEX(Cooper_pop_2030_2050!D:D, MATCH(About!$B$1, Cooper_pop_2030_2050!B:B, 0))+0.3*(INDEX(Cooper_pop_2030_2050!E:E, MATCH(About!$B$1, Cooper_pop_2030_2050!B:B, 0))-INDEX(Cooper_pop_2030_2050!D:D, MATCH(About!$B$1, Cooper_pop_2030_2050!B:B, 0)))</f>
        <v>7463304.2518977197</v>
      </c>
      <c r="L13" s="37">
        <f>INDEX(Cooper_pop_2030_2050!D:D, MATCH(About!$B$1, Cooper_pop_2030_2050!B:B, 0))+0.4*(INDEX(Cooper_pop_2030_2050!E:E, MATCH(About!$B$1, Cooper_pop_2030_2050!B:B, 0))-INDEX(Cooper_pop_2030_2050!D:D, MATCH(About!$B$1, Cooper_pop_2030_2050!B:B, 0)))</f>
        <v>7497899.3636917854</v>
      </c>
      <c r="M13" s="37">
        <f>INDEX(Cooper_pop_2030_2050!D:D, MATCH(About!$B$1, Cooper_pop_2030_2050!B:B, 0))+0.5*(INDEX(Cooper_pop_2030_2050!E:E, MATCH(About!$B$1, Cooper_pop_2030_2050!B:B, 0))-INDEX(Cooper_pop_2030_2050!D:D, MATCH(About!$B$1, Cooper_pop_2030_2050!B:B, 0)))</f>
        <v>7532494.4754858511</v>
      </c>
      <c r="N13" s="37">
        <f>INDEX(Cooper_pop_2030_2050!D:D, MATCH(About!$B$1, Cooper_pop_2030_2050!B:B, 0))+0.6*(INDEX(Cooper_pop_2030_2050!E:E, MATCH(About!$B$1, Cooper_pop_2030_2050!B:B, 0))-INDEX(Cooper_pop_2030_2050!D:D, MATCH(About!$B$1, Cooper_pop_2030_2050!B:B, 0)))</f>
        <v>7567089.5872799167</v>
      </c>
      <c r="O13" s="37">
        <f>INDEX(Cooper_pop_2030_2050!D:D, MATCH(About!$B$1, Cooper_pop_2030_2050!B:B, 0))+0.7*(INDEX(Cooper_pop_2030_2050!E:E, MATCH(About!$B$1, Cooper_pop_2030_2050!B:B, 0))-INDEX(Cooper_pop_2030_2050!D:D, MATCH(About!$B$1, Cooper_pop_2030_2050!B:B, 0)))</f>
        <v>7601684.6990739824</v>
      </c>
      <c r="P13" s="37">
        <f>INDEX(Cooper_pop_2030_2050!D:D, MATCH(About!$B$1, Cooper_pop_2030_2050!B:B, 0))+0.8*(INDEX(Cooper_pop_2030_2050!E:E, MATCH(About!$B$1, Cooper_pop_2030_2050!B:B, 0))-INDEX(Cooper_pop_2030_2050!D:D, MATCH(About!$B$1, Cooper_pop_2030_2050!B:B, 0)))</f>
        <v>7636279.8108680472</v>
      </c>
      <c r="Q13" s="37">
        <f>INDEX(Cooper_pop_2030_2050!D:D, MATCH(About!$B$1, Cooper_pop_2030_2050!B:B, 0))+0.9*(INDEX(Cooper_pop_2030_2050!E:E, MATCH(About!$B$1, Cooper_pop_2030_2050!B:B, 0))-INDEX(Cooper_pop_2030_2050!D:D, MATCH(About!$B$1, Cooper_pop_2030_2050!B:B, 0)))</f>
        <v>7670874.9226621129</v>
      </c>
      <c r="R13" s="37">
        <f>INDEX(Cooper_pop_2030_2050!E:E, MATCH(About!$B$1, Cooper_pop_2030_2050!B:B, 0))</f>
        <v>7705470.0344561785</v>
      </c>
      <c r="S13" s="37">
        <f>INDEX(Cooper_pop_2030_2050!E:E, MATCH(About!$B$1, Cooper_pop_2030_2050!B:B, 0))+0.1*(INDEX(Cooper_pop_2030_2050!F:F, MATCH(About!$B$1, Cooper_pop_2030_2050!B:B, 0))-INDEX(Cooper_pop_2030_2050!E:E, MATCH(About!$B$1, Cooper_pop_2030_2050!B:B, 0)))</f>
        <v>7732237.7406541547</v>
      </c>
      <c r="T13" s="37">
        <f>INDEX(Cooper_pop_2030_2050!E:E, MATCH(About!$B$1, Cooper_pop_2030_2050!B:B, 0))+0.2*(INDEX(Cooper_pop_2030_2050!F:F, MATCH(About!$B$1, Cooper_pop_2030_2050!B:B, 0))-INDEX(Cooper_pop_2030_2050!E:E, MATCH(About!$B$1, Cooper_pop_2030_2050!B:B, 0)))</f>
        <v>7759005.4468521317</v>
      </c>
      <c r="U13" s="37">
        <f>INDEX(Cooper_pop_2030_2050!E:E, MATCH(About!$B$1, Cooper_pop_2030_2050!B:B, 0))+0.3*(INDEX(Cooper_pop_2030_2050!F:F, MATCH(About!$B$1, Cooper_pop_2030_2050!B:B, 0))-INDEX(Cooper_pop_2030_2050!E:E, MATCH(About!$B$1, Cooper_pop_2030_2050!B:B, 0)))</f>
        <v>7785773.1530501079</v>
      </c>
      <c r="V13" s="37">
        <f>INDEX(Cooper_pop_2030_2050!E:E, MATCH(About!$B$1, Cooper_pop_2030_2050!B:B, 0))+0.4*(INDEX(Cooper_pop_2030_2050!F:F, MATCH(About!$B$1, Cooper_pop_2030_2050!B:B, 0))-INDEX(Cooper_pop_2030_2050!E:E, MATCH(About!$B$1, Cooper_pop_2030_2050!B:B, 0)))</f>
        <v>7812540.8592480849</v>
      </c>
      <c r="W13" s="37">
        <f>INDEX(Cooper_pop_2030_2050!E:E, MATCH(About!$B$1, Cooper_pop_2030_2050!B:B, 0))+0.5*(INDEX(Cooper_pop_2030_2050!F:F, MATCH(About!$B$1, Cooper_pop_2030_2050!B:B, 0))-INDEX(Cooper_pop_2030_2050!E:E, MATCH(About!$B$1, Cooper_pop_2030_2050!B:B, 0)))</f>
        <v>7839308.5654460611</v>
      </c>
      <c r="X13" s="37">
        <f>INDEX(Cooper_pop_2030_2050!E:E, MATCH(About!$B$1, Cooper_pop_2030_2050!B:B, 0))+0.6*(INDEX(Cooper_pop_2030_2050!F:F, MATCH(About!$B$1, Cooper_pop_2030_2050!B:B, 0))-INDEX(Cooper_pop_2030_2050!E:E, MATCH(About!$B$1, Cooper_pop_2030_2050!B:B, 0)))</f>
        <v>7866076.2716440372</v>
      </c>
      <c r="Y13" s="37">
        <f>INDEX(Cooper_pop_2030_2050!E:E, MATCH(About!$B$1, Cooper_pop_2030_2050!B:B, 0))+0.7*(INDEX(Cooper_pop_2030_2050!F:F, MATCH(About!$B$1, Cooper_pop_2030_2050!B:B, 0))-INDEX(Cooper_pop_2030_2050!E:E, MATCH(About!$B$1, Cooper_pop_2030_2050!B:B, 0)))</f>
        <v>7892843.9778420143</v>
      </c>
      <c r="Z13" s="37">
        <f>INDEX(Cooper_pop_2030_2050!E:E, MATCH(About!$B$1, Cooper_pop_2030_2050!B:B, 0))+0.8*(INDEX(Cooper_pop_2030_2050!F:F, MATCH(About!$B$1, Cooper_pop_2030_2050!B:B, 0))-INDEX(Cooper_pop_2030_2050!E:E, MATCH(About!$B$1, Cooper_pop_2030_2050!B:B, 0)))</f>
        <v>7919611.6840399904</v>
      </c>
      <c r="AA13" s="37">
        <f>INDEX(Cooper_pop_2030_2050!E:E, MATCH(About!$B$1, Cooper_pop_2030_2050!B:B, 0))+0.9*(INDEX(Cooper_pop_2030_2050!F:F, MATCH(About!$B$1, Cooper_pop_2030_2050!B:B, 0))-INDEX(Cooper_pop_2030_2050!E:E, MATCH(About!$B$1, Cooper_pop_2030_2050!B:B, 0)))</f>
        <v>7946379.3902379675</v>
      </c>
      <c r="AB13" s="37">
        <f>INDEX(Cooper_pop_2030_2050!F:F, MATCH(About!$B$1, Cooper_pop_2030_2050!B:B, 0))</f>
        <v>7973147.0964359436</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2.155029802351963E-2</v>
      </c>
      <c r="C15" s="39">
        <f t="shared" si="1"/>
        <v>2.1641195668046252E-2</v>
      </c>
      <c r="D15" s="39">
        <f t="shared" si="1"/>
        <v>2.1571968120703888E-2</v>
      </c>
      <c r="E15" s="39">
        <f t="shared" si="1"/>
        <v>2.150582895772369E-2</v>
      </c>
      <c r="F15" s="39">
        <f t="shared" si="1"/>
        <v>2.1442956121583975E-2</v>
      </c>
      <c r="G15" s="39">
        <f t="shared" si="1"/>
        <v>2.1383416054348091E-2</v>
      </c>
      <c r="H15" s="39">
        <f t="shared" si="1"/>
        <v>2.1327391208641334E-2</v>
      </c>
      <c r="I15" s="39">
        <f t="shared" si="1"/>
        <v>2.1349338053422637E-2</v>
      </c>
      <c r="J15" s="39">
        <f t="shared" si="1"/>
        <v>2.1374806270763901E-2</v>
      </c>
      <c r="K15" s="39">
        <f t="shared" si="1"/>
        <v>2.1403112903519182E-2</v>
      </c>
      <c r="L15" s="39">
        <f t="shared" si="1"/>
        <v>2.143434950034636E-2</v>
      </c>
      <c r="M15" s="39">
        <f t="shared" si="1"/>
        <v>2.1468594891207289E-2</v>
      </c>
      <c r="N15" s="39">
        <f t="shared" si="1"/>
        <v>2.1505909411986109E-2</v>
      </c>
      <c r="O15" s="39">
        <f t="shared" si="1"/>
        <v>2.1546356032480313E-2</v>
      </c>
      <c r="P15" s="39">
        <f t="shared" si="1"/>
        <v>2.1589972318598522E-2</v>
      </c>
      <c r="Q15" s="39">
        <f t="shared" si="1"/>
        <v>2.1636753175372548E-2</v>
      </c>
      <c r="R15" s="39">
        <f t="shared" si="1"/>
        <v>2.1686669039857415E-2</v>
      </c>
      <c r="S15" s="39">
        <f t="shared" si="1"/>
        <v>2.1717722649110493E-2</v>
      </c>
      <c r="T15" s="39">
        <f t="shared" si="1"/>
        <v>2.1751856533534824E-2</v>
      </c>
      <c r="U15" s="39">
        <f t="shared" si="1"/>
        <v>2.1788905516201551E-2</v>
      </c>
      <c r="V15" s="39">
        <f t="shared" si="1"/>
        <v>2.1828630267887554E-2</v>
      </c>
      <c r="W15" s="39">
        <f t="shared" si="1"/>
        <v>2.1870753536054791E-2</v>
      </c>
      <c r="X15" s="39">
        <f t="shared" si="1"/>
        <v>2.1914986600322081E-2</v>
      </c>
      <c r="Y15" s="39">
        <f t="shared" si="1"/>
        <v>2.1961148693568973E-2</v>
      </c>
      <c r="Z15" s="39">
        <f t="shared" si="1"/>
        <v>2.2008962138763261E-2</v>
      </c>
      <c r="AA15" s="39">
        <f t="shared" si="1"/>
        <v>2.2058141870311899E-2</v>
      </c>
      <c r="AB15" s="39">
        <f t="shared" si="1"/>
        <v>2.2108404740673097E-2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200.68923695280043</v>
      </c>
      <c r="C48" s="37">
        <f t="shared" si="10"/>
        <v>200.01527136764929</v>
      </c>
      <c r="D48" s="37">
        <f t="shared" si="10"/>
        <v>197.83850554564364</v>
      </c>
      <c r="E48" s="37">
        <f t="shared" si="10"/>
        <v>195.69970807386972</v>
      </c>
      <c r="F48" s="37">
        <f t="shared" si="10"/>
        <v>193.55738791846395</v>
      </c>
      <c r="G48" s="37">
        <f t="shared" si="10"/>
        <v>191.41179557983352</v>
      </c>
      <c r="H48" s="37">
        <f t="shared" si="10"/>
        <v>189.26415176341894</v>
      </c>
      <c r="I48" s="37">
        <f t="shared" si="10"/>
        <v>187.87445518415313</v>
      </c>
      <c r="J48" s="37">
        <f t="shared" si="10"/>
        <v>186.36416863243767</v>
      </c>
      <c r="K48" s="37">
        <f t="shared" si="10"/>
        <v>184.89544574444503</v>
      </c>
      <c r="L48" s="37">
        <f t="shared" si="10"/>
        <v>183.32000004931547</v>
      </c>
      <c r="M48" s="37">
        <f t="shared" si="10"/>
        <v>181.78589419832485</v>
      </c>
      <c r="N48" s="37">
        <f t="shared" si="10"/>
        <v>180.31424856173959</v>
      </c>
      <c r="O48" s="37">
        <f t="shared" si="10"/>
        <v>178.60654732041243</v>
      </c>
      <c r="P48" s="37">
        <f t="shared" si="10"/>
        <v>176.98122774572184</v>
      </c>
      <c r="Q48" s="37">
        <f t="shared" si="10"/>
        <v>175.24506724097895</v>
      </c>
      <c r="R48" s="37">
        <f t="shared" si="10"/>
        <v>173.50336568043519</v>
      </c>
      <c r="S48" s="37">
        <f t="shared" si="10"/>
        <v>171.53827317036433</v>
      </c>
      <c r="T48" s="37">
        <f t="shared" si="10"/>
        <v>169.59086622724084</v>
      </c>
      <c r="U48" s="37">
        <f t="shared" si="10"/>
        <v>167.65893201258089</v>
      </c>
      <c r="V48" s="37">
        <f t="shared" si="10"/>
        <v>165.73976200793018</v>
      </c>
      <c r="W48" s="37">
        <f t="shared" si="10"/>
        <v>163.85210325856852</v>
      </c>
      <c r="X48" s="37">
        <f t="shared" si="10"/>
        <v>162.14502122706114</v>
      </c>
      <c r="Y48" s="37">
        <f t="shared" si="10"/>
        <v>160.4438034349221</v>
      </c>
      <c r="Z48" s="37">
        <f t="shared" si="10"/>
        <v>158.85480292089363</v>
      </c>
      <c r="AA48" s="37">
        <f t="shared" si="10"/>
        <v>157.28894926338651</v>
      </c>
      <c r="AB48" s="37">
        <f t="shared" si="10"/>
        <v>155.72215964518617</v>
      </c>
    </row>
    <row r="49" spans="1:28" x14ac:dyDescent="0.25">
      <c r="A49" s="4" t="s">
        <v>216</v>
      </c>
      <c r="B49" s="37">
        <f t="shared" ref="B49:AB49" si="11">B29*B15*$F$5</f>
        <v>163.37589224994832</v>
      </c>
      <c r="C49" s="37">
        <f t="shared" si="11"/>
        <v>163.16858971405782</v>
      </c>
      <c r="D49" s="37">
        <f t="shared" si="11"/>
        <v>161.75309020788603</v>
      </c>
      <c r="E49" s="37">
        <f t="shared" si="11"/>
        <v>160.34462851089802</v>
      </c>
      <c r="F49" s="37">
        <f t="shared" si="11"/>
        <v>158.92266753376401</v>
      </c>
      <c r="G49" s="37">
        <f t="shared" si="11"/>
        <v>157.53084863226593</v>
      </c>
      <c r="H49" s="37">
        <f t="shared" si="11"/>
        <v>156.14851672747616</v>
      </c>
      <c r="I49" s="37">
        <f t="shared" si="11"/>
        <v>155.23075983611633</v>
      </c>
      <c r="J49" s="37">
        <f t="shared" si="11"/>
        <v>154.40099530826154</v>
      </c>
      <c r="K49" s="37">
        <f t="shared" si="11"/>
        <v>153.45944183001959</v>
      </c>
      <c r="L49" s="37">
        <f t="shared" si="11"/>
        <v>152.57901724080213</v>
      </c>
      <c r="M49" s="37">
        <f t="shared" si="11"/>
        <v>151.58650085676655</v>
      </c>
      <c r="N49" s="37">
        <f t="shared" si="11"/>
        <v>150.50289930896628</v>
      </c>
      <c r="O49" s="37">
        <f t="shared" si="11"/>
        <v>149.54518539377392</v>
      </c>
      <c r="P49" s="37">
        <f t="shared" si="11"/>
        <v>148.38651086773618</v>
      </c>
      <c r="Q49" s="37">
        <f t="shared" si="11"/>
        <v>147.28718573226706</v>
      </c>
      <c r="R49" s="37">
        <f t="shared" si="11"/>
        <v>146.09330346641829</v>
      </c>
      <c r="S49" s="37">
        <f t="shared" si="11"/>
        <v>144.76662856818601</v>
      </c>
      <c r="T49" s="37">
        <f t="shared" si="11"/>
        <v>143.41192528083423</v>
      </c>
      <c r="U49" s="37">
        <f t="shared" si="11"/>
        <v>142.07126364107165</v>
      </c>
      <c r="V49" s="37">
        <f t="shared" si="11"/>
        <v>140.7865704818856</v>
      </c>
      <c r="W49" s="37">
        <f t="shared" si="11"/>
        <v>139.53365419438319</v>
      </c>
      <c r="X49" s="37">
        <f t="shared" si="11"/>
        <v>138.26603811578656</v>
      </c>
      <c r="Y49" s="37">
        <f t="shared" si="11"/>
        <v>137.09294761611343</v>
      </c>
      <c r="Z49" s="37">
        <f t="shared" si="11"/>
        <v>135.90166434921744</v>
      </c>
      <c r="AA49" s="37">
        <f t="shared" si="11"/>
        <v>134.77910703855804</v>
      </c>
      <c r="AB49" s="37">
        <f t="shared" si="11"/>
        <v>133.79075225125197</v>
      </c>
    </row>
    <row r="50" spans="1:28" x14ac:dyDescent="0.25">
      <c r="A50" s="4" t="s">
        <v>217</v>
      </c>
      <c r="B50" s="37">
        <f t="shared" ref="B50:AB50" si="12">B30*B15*$F$6</f>
        <v>220.98204788432955</v>
      </c>
      <c r="C50" s="37">
        <f t="shared" si="12"/>
        <v>220.45091505891637</v>
      </c>
      <c r="D50" s="37">
        <f t="shared" si="12"/>
        <v>218.30961957807668</v>
      </c>
      <c r="E50" s="37">
        <f t="shared" si="12"/>
        <v>216.16384990818969</v>
      </c>
      <c r="F50" s="37">
        <f t="shared" si="12"/>
        <v>214.03746360431313</v>
      </c>
      <c r="G50" s="37">
        <f t="shared" si="12"/>
        <v>211.95287538088832</v>
      </c>
      <c r="H50" s="37">
        <f t="shared" si="12"/>
        <v>209.82244557273381</v>
      </c>
      <c r="I50" s="37">
        <f t="shared" si="12"/>
        <v>208.48383858440081</v>
      </c>
      <c r="J50" s="37">
        <f t="shared" si="12"/>
        <v>207.06499671168655</v>
      </c>
      <c r="K50" s="37">
        <f t="shared" si="12"/>
        <v>205.58040263316587</v>
      </c>
      <c r="L50" s="37">
        <f t="shared" si="12"/>
        <v>204.00757879730975</v>
      </c>
      <c r="M50" s="37">
        <f t="shared" si="12"/>
        <v>202.34601278141568</v>
      </c>
      <c r="N50" s="37">
        <f t="shared" si="12"/>
        <v>200.59489739703145</v>
      </c>
      <c r="O50" s="37">
        <f t="shared" si="12"/>
        <v>198.6860937499419</v>
      </c>
      <c r="P50" s="37">
        <f t="shared" si="12"/>
        <v>196.70776841913948</v>
      </c>
      <c r="Q50" s="37">
        <f t="shared" si="12"/>
        <v>194.63577621518883</v>
      </c>
      <c r="R50" s="37">
        <f t="shared" si="12"/>
        <v>192.46802869015337</v>
      </c>
      <c r="S50" s="37">
        <f t="shared" si="12"/>
        <v>190.0553376450527</v>
      </c>
      <c r="T50" s="37">
        <f t="shared" si="12"/>
        <v>187.66153347156552</v>
      </c>
      <c r="U50" s="37">
        <f t="shared" si="12"/>
        <v>185.28406771232264</v>
      </c>
      <c r="V50" s="37">
        <f t="shared" si="12"/>
        <v>182.94255835136124</v>
      </c>
      <c r="W50" s="37">
        <f t="shared" si="12"/>
        <v>180.67935389786933</v>
      </c>
      <c r="X50" s="37">
        <f t="shared" si="12"/>
        <v>178.51443226767279</v>
      </c>
      <c r="Y50" s="37">
        <f t="shared" si="12"/>
        <v>176.4004746548776</v>
      </c>
      <c r="Z50" s="37">
        <f t="shared" si="12"/>
        <v>174.35780713324118</v>
      </c>
      <c r="AA50" s="37">
        <f t="shared" si="12"/>
        <v>172.42999285124745</v>
      </c>
      <c r="AB50" s="37">
        <f t="shared" si="12"/>
        <v>170.5691893042536</v>
      </c>
    </row>
    <row r="51" spans="1:28" x14ac:dyDescent="0.25">
      <c r="A51" s="4" t="s">
        <v>218</v>
      </c>
      <c r="B51" s="37">
        <f t="shared" ref="B51:AB51" si="13">B31*B15*$F$7</f>
        <v>121.22507547946742</v>
      </c>
      <c r="C51" s="37">
        <f t="shared" si="13"/>
        <v>120.09693456108818</v>
      </c>
      <c r="D51" s="37">
        <f t="shared" si="13"/>
        <v>118.10448368442165</v>
      </c>
      <c r="E51" s="37">
        <f t="shared" si="13"/>
        <v>116.08731275287818</v>
      </c>
      <c r="F51" s="37">
        <f t="shared" si="13"/>
        <v>114.04613231942128</v>
      </c>
      <c r="G51" s="37">
        <f t="shared" si="13"/>
        <v>112.03239265568584</v>
      </c>
      <c r="H51" s="37">
        <f t="shared" si="13"/>
        <v>109.96930420667177</v>
      </c>
      <c r="I51" s="37">
        <f t="shared" si="13"/>
        <v>108.33675679373562</v>
      </c>
      <c r="J51" s="37">
        <f t="shared" si="13"/>
        <v>106.71820143512511</v>
      </c>
      <c r="K51" s="37">
        <f t="shared" si="13"/>
        <v>105.10942035299897</v>
      </c>
      <c r="L51" s="37">
        <f t="shared" si="13"/>
        <v>103.56170825384258</v>
      </c>
      <c r="M51" s="37">
        <f t="shared" si="13"/>
        <v>102.10078333449273</v>
      </c>
      <c r="N51" s="37">
        <f t="shared" si="13"/>
        <v>100.64903352245835</v>
      </c>
      <c r="O51" s="37">
        <f t="shared" si="13"/>
        <v>99.283778615150908</v>
      </c>
      <c r="P51" s="37">
        <f t="shared" si="13"/>
        <v>97.927064204585221</v>
      </c>
      <c r="Q51" s="37">
        <f t="shared" si="13"/>
        <v>96.630217142444849</v>
      </c>
      <c r="R51" s="37">
        <f t="shared" si="13"/>
        <v>95.366704928175636</v>
      </c>
      <c r="S51" s="37">
        <f t="shared" si="13"/>
        <v>94.014696541767151</v>
      </c>
      <c r="T51" s="37">
        <f t="shared" si="13"/>
        <v>92.697710666752187</v>
      </c>
      <c r="U51" s="37">
        <f t="shared" si="13"/>
        <v>91.388354387530711</v>
      </c>
      <c r="V51" s="37">
        <f t="shared" si="13"/>
        <v>90.137548227287269</v>
      </c>
      <c r="W51" s="37">
        <f t="shared" si="13"/>
        <v>88.865032388648928</v>
      </c>
      <c r="X51" s="37">
        <f t="shared" si="13"/>
        <v>87.648082541569948</v>
      </c>
      <c r="Y51" s="37">
        <f t="shared" si="13"/>
        <v>86.512310465451137</v>
      </c>
      <c r="Z51" s="37">
        <f t="shared" si="13"/>
        <v>85.377393417383018</v>
      </c>
      <c r="AA51" s="37">
        <f t="shared" si="13"/>
        <v>84.294993932545509</v>
      </c>
      <c r="AB51" s="37">
        <f t="shared" si="13"/>
        <v>83.21099390699321</v>
      </c>
    </row>
    <row r="52" spans="1:28" x14ac:dyDescent="0.25">
      <c r="A52" s="4" t="s">
        <v>219</v>
      </c>
      <c r="B52" s="37">
        <f t="shared" ref="B52:AB52" si="14">B32*B15*$F$8</f>
        <v>6.5542101314776167</v>
      </c>
      <c r="C52" s="37">
        <f t="shared" si="14"/>
        <v>6.604788623628199</v>
      </c>
      <c r="D52" s="37">
        <f t="shared" si="14"/>
        <v>6.606520642824087</v>
      </c>
      <c r="E52" s="37">
        <f t="shared" si="14"/>
        <v>6.6166516609709367</v>
      </c>
      <c r="F52" s="37">
        <f t="shared" si="14"/>
        <v>6.6276053365006167</v>
      </c>
      <c r="G52" s="37">
        <f t="shared" si="14"/>
        <v>6.6394161446336799</v>
      </c>
      <c r="H52" s="37">
        <f t="shared" si="14"/>
        <v>6.6521551205710567</v>
      </c>
      <c r="I52" s="37">
        <f t="shared" si="14"/>
        <v>6.689165835000793</v>
      </c>
      <c r="J52" s="37">
        <f t="shared" si="14"/>
        <v>6.7273468591042658</v>
      </c>
      <c r="K52" s="37">
        <f t="shared" si="14"/>
        <v>6.7816178696908187</v>
      </c>
      <c r="L52" s="37">
        <f t="shared" si="14"/>
        <v>6.8218007097801978</v>
      </c>
      <c r="M52" s="37">
        <f t="shared" si="14"/>
        <v>6.8630336655093842</v>
      </c>
      <c r="N52" s="37">
        <f t="shared" si="14"/>
        <v>6.9053488639156697</v>
      </c>
      <c r="O52" s="37">
        <f t="shared" si="14"/>
        <v>6.9487796224872458</v>
      </c>
      <c r="P52" s="37">
        <f t="shared" si="14"/>
        <v>6.9857250484710551</v>
      </c>
      <c r="Q52" s="37">
        <f t="shared" si="14"/>
        <v>7.0314330701062042</v>
      </c>
      <c r="R52" s="37">
        <f t="shared" si="14"/>
        <v>7.0629755336899089</v>
      </c>
      <c r="S52" s="37">
        <f t="shared" si="14"/>
        <v>7.0961035506228169</v>
      </c>
      <c r="T52" s="37">
        <f t="shared" si="14"/>
        <v>7.1379906245760445</v>
      </c>
      <c r="U52" s="37">
        <f t="shared" si="14"/>
        <v>7.1655416659398048</v>
      </c>
      <c r="V52" s="37">
        <f t="shared" si="14"/>
        <v>7.2017375440192017</v>
      </c>
      <c r="W52" s="37">
        <f t="shared" si="14"/>
        <v>7.2388114793907068</v>
      </c>
      <c r="X52" s="37">
        <f t="shared" si="14"/>
        <v>7.2689340863362197</v>
      </c>
      <c r="Y52" s="37">
        <f t="shared" si="14"/>
        <v>7.3152752900640445</v>
      </c>
      <c r="Z52" s="37">
        <f t="shared" si="14"/>
        <v>7.3467506635837365</v>
      </c>
      <c r="AA52" s="37">
        <f t="shared" si="14"/>
        <v>7.3787506361665001</v>
      </c>
      <c r="AB52" s="37">
        <f t="shared" si="14"/>
        <v>7.4111831867676532</v>
      </c>
    </row>
    <row r="53" spans="1:28" x14ac:dyDescent="0.25">
      <c r="A53" s="4" t="s">
        <v>220</v>
      </c>
      <c r="B53" s="37">
        <f t="shared" ref="B53:AB53" si="15">B33*B15*$F$9</f>
        <v>21.585551575898805</v>
      </c>
      <c r="C53" s="37">
        <f t="shared" si="15"/>
        <v>21.862234131484225</v>
      </c>
      <c r="D53" s="37">
        <f t="shared" si="15"/>
        <v>21.934639806287599</v>
      </c>
      <c r="E53" s="37">
        <f t="shared" si="15"/>
        <v>22.037673362347668</v>
      </c>
      <c r="F53" s="37">
        <f t="shared" si="15"/>
        <v>22.128883593697218</v>
      </c>
      <c r="G53" s="37">
        <f t="shared" si="15"/>
        <v>22.194425471651709</v>
      </c>
      <c r="H53" s="37">
        <f t="shared" si="15"/>
        <v>22.319220197910429</v>
      </c>
      <c r="I53" s="37">
        <f t="shared" si="15"/>
        <v>22.468971846489382</v>
      </c>
      <c r="J53" s="37">
        <f t="shared" si="15"/>
        <v>22.63681505214705</v>
      </c>
      <c r="K53" s="37">
        <f t="shared" si="15"/>
        <v>22.765651248823037</v>
      </c>
      <c r="L53" s="37">
        <f t="shared" si="15"/>
        <v>22.912022179555901</v>
      </c>
      <c r="M53" s="37">
        <f t="shared" si="15"/>
        <v>23.019457529579554</v>
      </c>
      <c r="N53" s="37">
        <f t="shared" si="15"/>
        <v>23.158800692738104</v>
      </c>
      <c r="O53" s="37">
        <f t="shared" si="15"/>
        <v>23.27344159029095</v>
      </c>
      <c r="P53" s="37">
        <f t="shared" si="15"/>
        <v>23.363291744312164</v>
      </c>
      <c r="Q53" s="37">
        <f t="shared" si="15"/>
        <v>23.42819178280973</v>
      </c>
      <c r="R53" s="37">
        <f t="shared" si="15"/>
        <v>23.496550199690247</v>
      </c>
      <c r="S53" s="37">
        <f t="shared" si="15"/>
        <v>23.530195416821361</v>
      </c>
      <c r="T53" s="37">
        <f t="shared" si="15"/>
        <v>23.509767067766166</v>
      </c>
      <c r="U53" s="37">
        <f t="shared" si="15"/>
        <v>23.521055875265251</v>
      </c>
      <c r="V53" s="37">
        <f t="shared" si="15"/>
        <v>23.506325079549018</v>
      </c>
      <c r="W53" s="37">
        <f t="shared" si="15"/>
        <v>23.493961118268309</v>
      </c>
      <c r="X53" s="37">
        <f t="shared" si="15"/>
        <v>23.512556346668024</v>
      </c>
      <c r="Y53" s="37">
        <f t="shared" si="15"/>
        <v>23.489629455898189</v>
      </c>
      <c r="Z53" s="37">
        <f t="shared" si="15"/>
        <v>23.511725932815757</v>
      </c>
      <c r="AA53" s="37">
        <f t="shared" si="15"/>
        <v>23.49148950718056</v>
      </c>
      <c r="AB53" s="37">
        <f t="shared" si="15"/>
        <v>23.515842497435646</v>
      </c>
    </row>
    <row r="54" spans="1:28" x14ac:dyDescent="0.25">
      <c r="A54" s="4" t="s">
        <v>221</v>
      </c>
      <c r="B54" s="37">
        <f t="shared" ref="B54:AB54" si="16">B34*B15*$F$10</f>
        <v>33.915937248339922</v>
      </c>
      <c r="C54" s="37">
        <f t="shared" si="16"/>
        <v>34.200867812347632</v>
      </c>
      <c r="D54" s="37">
        <f t="shared" si="16"/>
        <v>34.250562793029481</v>
      </c>
      <c r="E54" s="37">
        <f t="shared" si="16"/>
        <v>34.312974696067698</v>
      </c>
      <c r="F54" s="37">
        <f t="shared" si="16"/>
        <v>34.405951708224762</v>
      </c>
      <c r="G54" s="37">
        <f t="shared" si="16"/>
        <v>34.468126410675112</v>
      </c>
      <c r="H54" s="37">
        <f t="shared" si="16"/>
        <v>34.526376364770108</v>
      </c>
      <c r="I54" s="37">
        <f t="shared" si="16"/>
        <v>34.701867717598368</v>
      </c>
      <c r="J54" s="37">
        <f t="shared" si="16"/>
        <v>34.865877520808823</v>
      </c>
      <c r="K54" s="37">
        <f t="shared" si="16"/>
        <v>35.017286386783546</v>
      </c>
      <c r="L54" s="37">
        <f t="shared" si="16"/>
        <v>35.147434282993103</v>
      </c>
      <c r="M54" s="37">
        <f t="shared" si="16"/>
        <v>35.256367890946649</v>
      </c>
      <c r="N54" s="37">
        <f t="shared" si="16"/>
        <v>35.34408227617206</v>
      </c>
      <c r="O54" s="37">
        <f t="shared" si="16"/>
        <v>35.410554642215956</v>
      </c>
      <c r="P54" s="37">
        <f t="shared" si="16"/>
        <v>35.429158832527207</v>
      </c>
      <c r="Q54" s="37">
        <f t="shared" si="16"/>
        <v>35.426137651073567</v>
      </c>
      <c r="R54" s="37">
        <f t="shared" si="16"/>
        <v>35.374577762241522</v>
      </c>
      <c r="S54" s="37">
        <f t="shared" si="16"/>
        <v>35.291752742055543</v>
      </c>
      <c r="T54" s="37">
        <f t="shared" si="16"/>
        <v>35.177882338316884</v>
      </c>
      <c r="U54" s="37">
        <f t="shared" si="16"/>
        <v>35.032461206176521</v>
      </c>
      <c r="V54" s="37">
        <f t="shared" si="16"/>
        <v>34.8906186935981</v>
      </c>
      <c r="W54" s="37">
        <f t="shared" si="16"/>
        <v>34.707032213912882</v>
      </c>
      <c r="X54" s="37">
        <f t="shared" si="16"/>
        <v>34.570700077743012</v>
      </c>
      <c r="Y54" s="37">
        <f t="shared" si="16"/>
        <v>34.427560769371205</v>
      </c>
      <c r="Z54" s="37">
        <f t="shared" si="16"/>
        <v>34.286086087000086</v>
      </c>
      <c r="AA54" s="37">
        <f t="shared" si="16"/>
        <v>34.154824093916517</v>
      </c>
      <c r="AB54" s="37">
        <f t="shared" si="16"/>
        <v>34.042419395112233</v>
      </c>
    </row>
    <row r="55" spans="1:28" x14ac:dyDescent="0.25">
      <c r="A55" s="4" t="s">
        <v>222</v>
      </c>
      <c r="B55" s="37">
        <f t="shared" ref="B55:AB55" si="17">B35*B15*$F$11</f>
        <v>322.0696308920223</v>
      </c>
      <c r="C55" s="37">
        <f t="shared" si="17"/>
        <v>320.26159986091409</v>
      </c>
      <c r="D55" s="37">
        <f t="shared" si="17"/>
        <v>316.00677575246982</v>
      </c>
      <c r="E55" s="37">
        <f t="shared" si="17"/>
        <v>311.76829700412009</v>
      </c>
      <c r="F55" s="37">
        <f t="shared" si="17"/>
        <v>307.42520249984085</v>
      </c>
      <c r="G55" s="37">
        <f t="shared" si="17"/>
        <v>303.19836711098225</v>
      </c>
      <c r="H55" s="37">
        <f t="shared" si="17"/>
        <v>298.99084568930101</v>
      </c>
      <c r="I55" s="37">
        <f t="shared" si="17"/>
        <v>295.8574662958643</v>
      </c>
      <c r="J55" s="37">
        <f t="shared" si="17"/>
        <v>292.71637601207578</v>
      </c>
      <c r="K55" s="37">
        <f t="shared" si="17"/>
        <v>289.53196766082203</v>
      </c>
      <c r="L55" s="37">
        <f t="shared" si="17"/>
        <v>286.35275535460454</v>
      </c>
      <c r="M55" s="37">
        <f t="shared" si="17"/>
        <v>283.15365377375332</v>
      </c>
      <c r="N55" s="37">
        <f t="shared" si="17"/>
        <v>279.98284324361333</v>
      </c>
      <c r="O55" s="37">
        <f t="shared" si="17"/>
        <v>276.74104518335247</v>
      </c>
      <c r="P55" s="37">
        <f t="shared" si="17"/>
        <v>273.50057629241434</v>
      </c>
      <c r="Q55" s="37">
        <f t="shared" si="17"/>
        <v>270.25954940243219</v>
      </c>
      <c r="R55" s="37">
        <f t="shared" si="17"/>
        <v>267.04054822688931</v>
      </c>
      <c r="S55" s="37">
        <f t="shared" si="17"/>
        <v>263.50046157713035</v>
      </c>
      <c r="T55" s="37">
        <f t="shared" si="17"/>
        <v>260.03570373679241</v>
      </c>
      <c r="U55" s="37">
        <f t="shared" si="17"/>
        <v>256.69272962356848</v>
      </c>
      <c r="V55" s="37">
        <f t="shared" si="17"/>
        <v>253.41784385969106</v>
      </c>
      <c r="W55" s="37">
        <f t="shared" si="17"/>
        <v>250.33177403526557</v>
      </c>
      <c r="X55" s="37">
        <f t="shared" si="17"/>
        <v>247.30583911829262</v>
      </c>
      <c r="Y55" s="37">
        <f t="shared" si="17"/>
        <v>244.4126231563653</v>
      </c>
      <c r="Z55" s="37">
        <f t="shared" si="17"/>
        <v>241.62381055814475</v>
      </c>
      <c r="AA55" s="37">
        <f t="shared" si="17"/>
        <v>238.91100693200508</v>
      </c>
      <c r="AB55" s="37">
        <f t="shared" si="17"/>
        <v>236.29636017446802</v>
      </c>
    </row>
    <row r="57" spans="1:28" x14ac:dyDescent="0.25">
      <c r="A57" s="4" t="s">
        <v>327</v>
      </c>
    </row>
    <row r="58" spans="1:28" x14ac:dyDescent="0.25">
      <c r="A58" s="4" t="s">
        <v>215</v>
      </c>
      <c r="B58" s="37">
        <f t="shared" ref="B58:AB58" si="18">B38*B15*$F$4</f>
        <v>31824.054244572122</v>
      </c>
      <c r="C58" s="37">
        <f t="shared" si="18"/>
        <v>32540.407405122249</v>
      </c>
      <c r="D58" s="37">
        <f t="shared" si="18"/>
        <v>33011.771063629843</v>
      </c>
      <c r="E58" s="37">
        <f t="shared" si="18"/>
        <v>33481.908939184126</v>
      </c>
      <c r="F58" s="37">
        <f t="shared" si="18"/>
        <v>33953.725802435431</v>
      </c>
      <c r="G58" s="37">
        <f t="shared" si="18"/>
        <v>34428.244735876324</v>
      </c>
      <c r="H58" s="37">
        <f t="shared" si="18"/>
        <v>34903.13335229153</v>
      </c>
      <c r="I58" s="37">
        <f t="shared" si="18"/>
        <v>35499.84271375653</v>
      </c>
      <c r="J58" s="37">
        <f t="shared" si="18"/>
        <v>36093.056107831297</v>
      </c>
      <c r="K58" s="37">
        <f t="shared" si="18"/>
        <v>36682.1339318463</v>
      </c>
      <c r="L58" s="37">
        <f t="shared" si="18"/>
        <v>37263.95251725577</v>
      </c>
      <c r="M58" s="37">
        <f t="shared" si="18"/>
        <v>37837.851184392661</v>
      </c>
      <c r="N58" s="37">
        <f t="shared" si="18"/>
        <v>38399.912200581333</v>
      </c>
      <c r="O58" s="37">
        <f t="shared" si="18"/>
        <v>38948.614853631123</v>
      </c>
      <c r="P58" s="37">
        <f t="shared" si="18"/>
        <v>39478.863209368472</v>
      </c>
      <c r="Q58" s="37">
        <f t="shared" si="18"/>
        <v>39989.725355537943</v>
      </c>
      <c r="R58" s="37">
        <f t="shared" si="18"/>
        <v>40474.976737459634</v>
      </c>
      <c r="S58" s="37">
        <f t="shared" si="18"/>
        <v>40893.460674295638</v>
      </c>
      <c r="T58" s="37">
        <f t="shared" si="18"/>
        <v>41283.634357920026</v>
      </c>
      <c r="U58" s="37">
        <f t="shared" si="18"/>
        <v>41647.483458096882</v>
      </c>
      <c r="V58" s="37">
        <f t="shared" si="18"/>
        <v>41974.734148871401</v>
      </c>
      <c r="W58" s="37">
        <f t="shared" si="18"/>
        <v>42267.523156606665</v>
      </c>
      <c r="X58" s="37">
        <f t="shared" si="18"/>
        <v>42523.17697051906</v>
      </c>
      <c r="Y58" s="37">
        <f t="shared" si="18"/>
        <v>42758.914695211875</v>
      </c>
      <c r="Z58" s="37">
        <f t="shared" si="18"/>
        <v>42958.833860799888</v>
      </c>
      <c r="AA58" s="37">
        <f t="shared" si="18"/>
        <v>43125.198605363876</v>
      </c>
      <c r="AB58" s="37">
        <f t="shared" si="18"/>
        <v>43261.55427246511</v>
      </c>
    </row>
    <row r="59" spans="1:28" x14ac:dyDescent="0.25">
      <c r="A59" s="4" t="s">
        <v>216</v>
      </c>
      <c r="B59" s="37">
        <f t="shared" ref="B59:AB59" si="19">B39*B15*$F$5</f>
        <v>30531.044038934306</v>
      </c>
      <c r="C59" s="37">
        <f t="shared" si="19"/>
        <v>31137.433770995813</v>
      </c>
      <c r="D59" s="37">
        <f t="shared" si="19"/>
        <v>31511.559300940771</v>
      </c>
      <c r="E59" s="37">
        <f t="shared" si="19"/>
        <v>31901.128742018402</v>
      </c>
      <c r="F59" s="37">
        <f t="shared" si="19"/>
        <v>32315.070056357745</v>
      </c>
      <c r="G59" s="37">
        <f t="shared" si="19"/>
        <v>32754.966796672161</v>
      </c>
      <c r="H59" s="37">
        <f t="shared" si="19"/>
        <v>33223.715810243062</v>
      </c>
      <c r="I59" s="37">
        <f t="shared" si="19"/>
        <v>33835.733055543998</v>
      </c>
      <c r="J59" s="37">
        <f t="shared" si="19"/>
        <v>34475.086123324596</v>
      </c>
      <c r="K59" s="37">
        <f t="shared" si="19"/>
        <v>35133.130459253625</v>
      </c>
      <c r="L59" s="37">
        <f t="shared" si="19"/>
        <v>35809.273244569289</v>
      </c>
      <c r="M59" s="37">
        <f t="shared" si="19"/>
        <v>36501.461146712529</v>
      </c>
      <c r="N59" s="37">
        <f t="shared" si="19"/>
        <v>37202.004956832519</v>
      </c>
      <c r="O59" s="37">
        <f t="shared" si="19"/>
        <v>37903.522425611089</v>
      </c>
      <c r="P59" s="37">
        <f t="shared" si="19"/>
        <v>38604.376881086959</v>
      </c>
      <c r="Q59" s="37">
        <f t="shared" si="19"/>
        <v>39293.91719531361</v>
      </c>
      <c r="R59" s="37">
        <f t="shared" si="19"/>
        <v>39969.072706656625</v>
      </c>
      <c r="S59" s="37">
        <f t="shared" si="19"/>
        <v>40581.456123180578</v>
      </c>
      <c r="T59" s="37">
        <f t="shared" si="19"/>
        <v>41168.10064597844</v>
      </c>
      <c r="U59" s="37">
        <f t="shared" si="19"/>
        <v>41725.013759897513</v>
      </c>
      <c r="V59" s="37">
        <f t="shared" si="19"/>
        <v>42242.498842695793</v>
      </c>
      <c r="W59" s="37">
        <f t="shared" si="19"/>
        <v>42711.704508506555</v>
      </c>
      <c r="X59" s="37">
        <f t="shared" si="19"/>
        <v>43134.487275347892</v>
      </c>
      <c r="Y59" s="37">
        <f t="shared" si="19"/>
        <v>43530.571867969127</v>
      </c>
      <c r="Z59" s="37">
        <f t="shared" si="19"/>
        <v>43880.895283030062</v>
      </c>
      <c r="AA59" s="37">
        <f t="shared" si="19"/>
        <v>44178.220173319198</v>
      </c>
      <c r="AB59" s="37">
        <f t="shared" si="19"/>
        <v>44422.773527537152</v>
      </c>
    </row>
    <row r="60" spans="1:28" x14ac:dyDescent="0.25">
      <c r="A60" s="4" t="s">
        <v>217</v>
      </c>
      <c r="B60" s="37">
        <f t="shared" ref="B60:AB60" si="20">B40*B15*$F$6</f>
        <v>52548.939190782374</v>
      </c>
      <c r="C60" s="37">
        <f t="shared" si="20"/>
        <v>53653.538652911055</v>
      </c>
      <c r="D60" s="37">
        <f t="shared" si="20"/>
        <v>54351.578189674503</v>
      </c>
      <c r="E60" s="37">
        <f t="shared" si="20"/>
        <v>55056.393448281255</v>
      </c>
      <c r="F60" s="37">
        <f t="shared" si="20"/>
        <v>55779.264875507222</v>
      </c>
      <c r="G60" s="37">
        <f t="shared" si="20"/>
        <v>56520.396052744909</v>
      </c>
      <c r="H60" s="37">
        <f t="shared" si="20"/>
        <v>57281.838226494634</v>
      </c>
      <c r="I60" s="37">
        <f t="shared" si="20"/>
        <v>58260.639915549575</v>
      </c>
      <c r="J60" s="37">
        <f t="shared" si="20"/>
        <v>59254.562571297472</v>
      </c>
      <c r="K60" s="37">
        <f t="shared" si="20"/>
        <v>60253.247184096253</v>
      </c>
      <c r="L60" s="37">
        <f t="shared" si="20"/>
        <v>61253.576528680642</v>
      </c>
      <c r="M60" s="37">
        <f t="shared" si="20"/>
        <v>62253.232529360459</v>
      </c>
      <c r="N60" s="37">
        <f t="shared" si="20"/>
        <v>63240.947289674419</v>
      </c>
      <c r="O60" s="37">
        <f t="shared" si="20"/>
        <v>64210.392355399301</v>
      </c>
      <c r="P60" s="37">
        <f t="shared" si="20"/>
        <v>65153.188180329074</v>
      </c>
      <c r="Q60" s="37">
        <f t="shared" si="20"/>
        <v>66060.390736377551</v>
      </c>
      <c r="R60" s="37">
        <f t="shared" si="20"/>
        <v>66923.290155915936</v>
      </c>
      <c r="S60" s="37">
        <f t="shared" si="20"/>
        <v>67667.403621362639</v>
      </c>
      <c r="T60" s="37">
        <f t="shared" si="20"/>
        <v>68355.883263364609</v>
      </c>
      <c r="U60" s="37">
        <f t="shared" si="20"/>
        <v>68988.13715113877</v>
      </c>
      <c r="V60" s="37">
        <f t="shared" si="20"/>
        <v>69545.2150662809</v>
      </c>
      <c r="W60" s="37">
        <f t="shared" si="20"/>
        <v>70021.166585204832</v>
      </c>
      <c r="X60" s="37">
        <f t="shared" si="20"/>
        <v>70416.705841913994</v>
      </c>
      <c r="Y60" s="37">
        <f t="shared" si="20"/>
        <v>70767.086922162023</v>
      </c>
      <c r="Z60" s="37">
        <f t="shared" si="20"/>
        <v>71040.023511948122</v>
      </c>
      <c r="AA60" s="37">
        <f t="shared" si="20"/>
        <v>71230.313789386695</v>
      </c>
      <c r="AB60" s="37">
        <f t="shared" si="20"/>
        <v>71343.202339066105</v>
      </c>
    </row>
    <row r="61" spans="1:28" x14ac:dyDescent="0.25">
      <c r="A61" s="4" t="s">
        <v>218</v>
      </c>
      <c r="B61" s="37">
        <f t="shared" ref="B61:AB61" si="21">B41*B15*$F$7</f>
        <v>9372.1132317670163</v>
      </c>
      <c r="C61" s="37">
        <f t="shared" si="21"/>
        <v>9553.6265690285363</v>
      </c>
      <c r="D61" s="37">
        <f t="shared" si="21"/>
        <v>9664.2826398864199</v>
      </c>
      <c r="E61" s="37">
        <f t="shared" si="21"/>
        <v>9775.8240652219356</v>
      </c>
      <c r="F61" s="37">
        <f t="shared" si="21"/>
        <v>9891.4585339921123</v>
      </c>
      <c r="G61" s="37">
        <f t="shared" si="21"/>
        <v>10011.458368805128</v>
      </c>
      <c r="H61" s="37">
        <f t="shared" si="21"/>
        <v>10135.589690470049</v>
      </c>
      <c r="I61" s="37">
        <f t="shared" si="21"/>
        <v>10300.129988273038</v>
      </c>
      <c r="J61" s="37">
        <f t="shared" si="21"/>
        <v>10469.513071379595</v>
      </c>
      <c r="K61" s="37">
        <f t="shared" si="21"/>
        <v>10643.126654039614</v>
      </c>
      <c r="L61" s="37">
        <f t="shared" si="21"/>
        <v>10821.038662633213</v>
      </c>
      <c r="M61" s="37">
        <f t="shared" si="21"/>
        <v>11002.746993951321</v>
      </c>
      <c r="N61" s="37">
        <f t="shared" si="21"/>
        <v>11188.826180077172</v>
      </c>
      <c r="O61" s="37">
        <f t="shared" si="21"/>
        <v>11376.490845428978</v>
      </c>
      <c r="P61" s="37">
        <f t="shared" si="21"/>
        <v>11567.024362133539</v>
      </c>
      <c r="Q61" s="37">
        <f t="shared" si="21"/>
        <v>11758.107399595958</v>
      </c>
      <c r="R61" s="37">
        <f t="shared" si="21"/>
        <v>11949.471597567246</v>
      </c>
      <c r="S61" s="37">
        <f t="shared" si="21"/>
        <v>12128.914346433832</v>
      </c>
      <c r="T61" s="37">
        <f t="shared" si="21"/>
        <v>12306.065747072678</v>
      </c>
      <c r="U61" s="37">
        <f t="shared" si="21"/>
        <v>12481.08677210645</v>
      </c>
      <c r="V61" s="37">
        <f t="shared" si="21"/>
        <v>12652.487426268601</v>
      </c>
      <c r="W61" s="37">
        <f t="shared" si="21"/>
        <v>12817.867024496609</v>
      </c>
      <c r="X61" s="37">
        <f t="shared" si="21"/>
        <v>12976.290714559418</v>
      </c>
      <c r="Y61" s="37">
        <f t="shared" si="21"/>
        <v>13130.963127777492</v>
      </c>
      <c r="Z61" s="37">
        <f t="shared" si="21"/>
        <v>13278.196047109728</v>
      </c>
      <c r="AA61" s="37">
        <f t="shared" si="21"/>
        <v>13417.784303240802</v>
      </c>
      <c r="AB61" s="37">
        <f t="shared" si="21"/>
        <v>13548.238567054916</v>
      </c>
    </row>
    <row r="62" spans="1:28" x14ac:dyDescent="0.25">
      <c r="A62" s="4" t="s">
        <v>219</v>
      </c>
      <c r="B62" s="37">
        <f t="shared" ref="B62:AB62" si="22">B42*B15*$F$8</f>
        <v>927.58439854929395</v>
      </c>
      <c r="C62" s="37">
        <f t="shared" si="22"/>
        <v>953.42875777332904</v>
      </c>
      <c r="D62" s="37">
        <f t="shared" si="22"/>
        <v>972.90350938234576</v>
      </c>
      <c r="E62" s="37">
        <f t="shared" si="22"/>
        <v>993.79677030984953</v>
      </c>
      <c r="F62" s="37">
        <f t="shared" si="22"/>
        <v>1016.3944055935369</v>
      </c>
      <c r="G62" s="37">
        <f t="shared" si="22"/>
        <v>1040.6737187065414</v>
      </c>
      <c r="H62" s="37">
        <f t="shared" si="22"/>
        <v>1066.7028312423756</v>
      </c>
      <c r="I62" s="37">
        <f t="shared" si="22"/>
        <v>1098.3127655509363</v>
      </c>
      <c r="J62" s="37">
        <f t="shared" si="22"/>
        <v>1131.3117216394464</v>
      </c>
      <c r="K62" s="37">
        <f t="shared" si="22"/>
        <v>1165.4856717455934</v>
      </c>
      <c r="L62" s="37">
        <f t="shared" si="22"/>
        <v>1201.1442064391342</v>
      </c>
      <c r="M62" s="37">
        <f t="shared" si="22"/>
        <v>1238.0685228700518</v>
      </c>
      <c r="N62" s="37">
        <f t="shared" si="22"/>
        <v>1276.1145473663476</v>
      </c>
      <c r="O62" s="37">
        <f t="shared" si="22"/>
        <v>1315.069862684232</v>
      </c>
      <c r="P62" s="37">
        <f t="shared" si="22"/>
        <v>1354.826463521759</v>
      </c>
      <c r="Q62" s="37">
        <f t="shared" si="22"/>
        <v>1395.1356783154963</v>
      </c>
      <c r="R62" s="37">
        <f t="shared" si="22"/>
        <v>1435.875348220502</v>
      </c>
      <c r="S62" s="37">
        <f t="shared" si="22"/>
        <v>1475.3144497593244</v>
      </c>
      <c r="T62" s="37">
        <f t="shared" si="22"/>
        <v>1514.8982858155673</v>
      </c>
      <c r="U62" s="37">
        <f t="shared" si="22"/>
        <v>1554.2991162941782</v>
      </c>
      <c r="V62" s="37">
        <f t="shared" si="22"/>
        <v>1593.5656316488139</v>
      </c>
      <c r="W62" s="37">
        <f t="shared" si="22"/>
        <v>1632.587616937846</v>
      </c>
      <c r="X62" s="37">
        <f t="shared" si="22"/>
        <v>1671.4987472396824</v>
      </c>
      <c r="Y62" s="37">
        <f t="shared" si="22"/>
        <v>1710.1841406380158</v>
      </c>
      <c r="Z62" s="37">
        <f t="shared" si="22"/>
        <v>1748.6899190587865</v>
      </c>
      <c r="AA62" s="37">
        <f t="shared" si="22"/>
        <v>1786.9900365909252</v>
      </c>
      <c r="AB62" s="37">
        <f t="shared" si="22"/>
        <v>1824.9472411133956</v>
      </c>
    </row>
    <row r="63" spans="1:28" x14ac:dyDescent="0.25">
      <c r="A63" s="4" t="s">
        <v>220</v>
      </c>
      <c r="B63" s="37">
        <f t="shared" ref="B63:AB63" si="23">B43*B15*$F$9</f>
        <v>951.76925140292144</v>
      </c>
      <c r="C63" s="37">
        <f t="shared" si="23"/>
        <v>976.91771628819743</v>
      </c>
      <c r="D63" s="37">
        <f t="shared" si="23"/>
        <v>995.68461329631657</v>
      </c>
      <c r="E63" s="37">
        <f t="shared" si="23"/>
        <v>1016.2872446005249</v>
      </c>
      <c r="F63" s="37">
        <f t="shared" si="23"/>
        <v>1037.0438126598706</v>
      </c>
      <c r="G63" s="37">
        <f t="shared" si="23"/>
        <v>1059.4346032831788</v>
      </c>
      <c r="H63" s="37">
        <f t="shared" si="23"/>
        <v>1082.4962522469521</v>
      </c>
      <c r="I63" s="37">
        <f t="shared" si="23"/>
        <v>1109.8826864384696</v>
      </c>
      <c r="J63" s="37">
        <f t="shared" si="23"/>
        <v>1137.947756294318</v>
      </c>
      <c r="K63" s="37">
        <f t="shared" si="23"/>
        <v>1167.9259259469081</v>
      </c>
      <c r="L63" s="37">
        <f t="shared" si="23"/>
        <v>1198.7089134742348</v>
      </c>
      <c r="M63" s="37">
        <f t="shared" si="23"/>
        <v>1230.6697799013866</v>
      </c>
      <c r="N63" s="37">
        <f t="shared" si="23"/>
        <v>1263.2756826407015</v>
      </c>
      <c r="O63" s="37">
        <f t="shared" si="23"/>
        <v>1296.630678019374</v>
      </c>
      <c r="P63" s="37">
        <f t="shared" si="23"/>
        <v>1331.0808094033848</v>
      </c>
      <c r="Q63" s="37">
        <f t="shared" si="23"/>
        <v>1366.4589225571513</v>
      </c>
      <c r="R63" s="37">
        <f t="shared" si="23"/>
        <v>1402.5093676137888</v>
      </c>
      <c r="S63" s="37">
        <f t="shared" si="23"/>
        <v>1437.3624792286437</v>
      </c>
      <c r="T63" s="37">
        <f t="shared" si="23"/>
        <v>1472.8050962508089</v>
      </c>
      <c r="U63" s="37">
        <f t="shared" si="23"/>
        <v>1508.4530454968399</v>
      </c>
      <c r="V63" s="37">
        <f t="shared" si="23"/>
        <v>1543.8700812663603</v>
      </c>
      <c r="W63" s="37">
        <f t="shared" si="23"/>
        <v>1579.9977475636401</v>
      </c>
      <c r="X63" s="37">
        <f t="shared" si="23"/>
        <v>1616.0761283808558</v>
      </c>
      <c r="Y63" s="37">
        <f t="shared" si="23"/>
        <v>1652.5628145648002</v>
      </c>
      <c r="Z63" s="37">
        <f t="shared" si="23"/>
        <v>1688.8215691495227</v>
      </c>
      <c r="AA63" s="37">
        <f t="shared" si="23"/>
        <v>1725.0962220254453</v>
      </c>
      <c r="AB63" s="37">
        <f t="shared" si="23"/>
        <v>1761.6458684803526</v>
      </c>
    </row>
    <row r="64" spans="1:28" x14ac:dyDescent="0.25">
      <c r="A64" s="4" t="s">
        <v>221</v>
      </c>
      <c r="B64" s="37">
        <f t="shared" ref="B64:AB64" si="24">B44*B15*$F$10</f>
        <v>2208.2886608792842</v>
      </c>
      <c r="C64" s="37">
        <f t="shared" si="24"/>
        <v>2295.8030812618908</v>
      </c>
      <c r="D64" s="37">
        <f t="shared" si="24"/>
        <v>2367.9027149843146</v>
      </c>
      <c r="E64" s="37">
        <f t="shared" si="24"/>
        <v>2441.6844916364107</v>
      </c>
      <c r="F64" s="37">
        <f t="shared" si="24"/>
        <v>2517.178436786181</v>
      </c>
      <c r="G64" s="37">
        <f t="shared" si="24"/>
        <v>2594.6946689788947</v>
      </c>
      <c r="H64" s="37">
        <f t="shared" si="24"/>
        <v>2675.0819689090836</v>
      </c>
      <c r="I64" s="37">
        <f t="shared" si="24"/>
        <v>2767.9966216647886</v>
      </c>
      <c r="J64" s="37">
        <f t="shared" si="24"/>
        <v>2863.6787662004485</v>
      </c>
      <c r="K64" s="37">
        <f t="shared" si="24"/>
        <v>2962.8149689962556</v>
      </c>
      <c r="L64" s="37">
        <f t="shared" si="24"/>
        <v>3065.941782439862</v>
      </c>
      <c r="M64" s="37">
        <f t="shared" si="24"/>
        <v>3172.3430007702914</v>
      </c>
      <c r="N64" s="37">
        <f t="shared" si="24"/>
        <v>3282.875734829041</v>
      </c>
      <c r="O64" s="37">
        <f t="shared" si="24"/>
        <v>3397.0295882721784</v>
      </c>
      <c r="P64" s="37">
        <f t="shared" si="24"/>
        <v>3514.6875572016361</v>
      </c>
      <c r="Q64" s="37">
        <f t="shared" si="24"/>
        <v>3636.0373483323351</v>
      </c>
      <c r="R64" s="37">
        <f t="shared" si="24"/>
        <v>3760.3771513362726</v>
      </c>
      <c r="S64" s="37">
        <f t="shared" si="24"/>
        <v>3883.8013282338943</v>
      </c>
      <c r="T64" s="37">
        <f t="shared" si="24"/>
        <v>4009.9577343349915</v>
      </c>
      <c r="U64" s="37">
        <f t="shared" si="24"/>
        <v>4138.5978367743182</v>
      </c>
      <c r="V64" s="37">
        <f t="shared" si="24"/>
        <v>4269.1860514443288</v>
      </c>
      <c r="W64" s="37">
        <f t="shared" si="24"/>
        <v>4401.1438224081649</v>
      </c>
      <c r="X64" s="37">
        <f t="shared" si="24"/>
        <v>4535.0113744061809</v>
      </c>
      <c r="Y64" s="37">
        <f t="shared" si="24"/>
        <v>4669.8835585893576</v>
      </c>
      <c r="Z64" s="37">
        <f t="shared" si="24"/>
        <v>4805.6972625667713</v>
      </c>
      <c r="AA64" s="37">
        <f t="shared" si="24"/>
        <v>4941.3688335651977</v>
      </c>
      <c r="AB64" s="37">
        <f t="shared" si="24"/>
        <v>5076.7501713736419</v>
      </c>
    </row>
    <row r="65" spans="1:28" x14ac:dyDescent="0.25">
      <c r="A65" s="4" t="s">
        <v>222</v>
      </c>
      <c r="B65" s="37">
        <f t="shared" ref="B65:AB65" si="25">B45*B15*$F$11</f>
        <v>65147.192556952112</v>
      </c>
      <c r="C65" s="37">
        <f t="shared" si="25"/>
        <v>66416.679805853972</v>
      </c>
      <c r="D65" s="37">
        <f t="shared" si="25"/>
        <v>67183.361093690255</v>
      </c>
      <c r="E65" s="37">
        <f t="shared" si="25"/>
        <v>67961.407881316831</v>
      </c>
      <c r="F65" s="37">
        <f t="shared" si="25"/>
        <v>68764.193753896601</v>
      </c>
      <c r="G65" s="37">
        <f t="shared" si="25"/>
        <v>69593.827134041654</v>
      </c>
      <c r="H65" s="37">
        <f t="shared" si="25"/>
        <v>70448.523417413802</v>
      </c>
      <c r="I65" s="37">
        <f t="shared" si="25"/>
        <v>71571.101021728988</v>
      </c>
      <c r="J65" s="37">
        <f t="shared" si="25"/>
        <v>72712.849104265813</v>
      </c>
      <c r="K65" s="37">
        <f t="shared" si="25"/>
        <v>73861.33225777249</v>
      </c>
      <c r="L65" s="37">
        <f t="shared" si="25"/>
        <v>75010.774389880593</v>
      </c>
      <c r="M65" s="37">
        <f t="shared" si="25"/>
        <v>76160.087100911187</v>
      </c>
      <c r="N65" s="37">
        <f t="shared" si="25"/>
        <v>77293.653282673084</v>
      </c>
      <c r="O65" s="37">
        <f t="shared" si="25"/>
        <v>78402.787304338315</v>
      </c>
      <c r="P65" s="37">
        <f t="shared" si="25"/>
        <v>79480.076965152621</v>
      </c>
      <c r="Q65" s="37">
        <f t="shared" si="25"/>
        <v>80511.870537895826</v>
      </c>
      <c r="R65" s="37">
        <f t="shared" si="25"/>
        <v>81489.461049796242</v>
      </c>
      <c r="S65" s="37">
        <f t="shared" si="25"/>
        <v>82321.451769020015</v>
      </c>
      <c r="T65" s="37">
        <f t="shared" si="25"/>
        <v>83083.993279379327</v>
      </c>
      <c r="U65" s="37">
        <f t="shared" si="25"/>
        <v>83775.555331916883</v>
      </c>
      <c r="V65" s="37">
        <f t="shared" si="25"/>
        <v>84374.792404404259</v>
      </c>
      <c r="W65" s="37">
        <f t="shared" si="25"/>
        <v>84875.771757865834</v>
      </c>
      <c r="X65" s="37">
        <f t="shared" si="25"/>
        <v>85275.998442720069</v>
      </c>
      <c r="Y65" s="37">
        <f t="shared" si="25"/>
        <v>85620.207105273163</v>
      </c>
      <c r="Z65" s="37">
        <f t="shared" si="25"/>
        <v>85868.634093610468</v>
      </c>
      <c r="AA65" s="37">
        <f t="shared" si="25"/>
        <v>86018.729250135031</v>
      </c>
      <c r="AB65" s="37">
        <f t="shared" si="25"/>
        <v>86075.258127176698</v>
      </c>
    </row>
    <row r="67" spans="1:28" x14ac:dyDescent="0.25">
      <c r="A67" s="4" t="s">
        <v>328</v>
      </c>
    </row>
    <row r="68" spans="1:28" x14ac:dyDescent="0.25">
      <c r="A68" s="4" t="s">
        <v>329</v>
      </c>
      <c r="B68" s="40">
        <f t="shared" ref="B68:AB68" si="26">B48+B49</f>
        <v>364.06512920274872</v>
      </c>
      <c r="C68" s="40">
        <f t="shared" si="26"/>
        <v>363.18386108170711</v>
      </c>
      <c r="D68" s="40">
        <f t="shared" si="26"/>
        <v>359.59159575352965</v>
      </c>
      <c r="E68" s="40">
        <f t="shared" si="26"/>
        <v>356.04433658476773</v>
      </c>
      <c r="F68" s="40">
        <f t="shared" si="26"/>
        <v>352.48005545222793</v>
      </c>
      <c r="G68" s="40">
        <f t="shared" si="26"/>
        <v>348.94264421209948</v>
      </c>
      <c r="H68" s="40">
        <f t="shared" si="26"/>
        <v>345.4126684908951</v>
      </c>
      <c r="I68" s="40">
        <f t="shared" si="26"/>
        <v>343.1052150202695</v>
      </c>
      <c r="J68" s="40">
        <f t="shared" si="26"/>
        <v>340.76516394069921</v>
      </c>
      <c r="K68" s="40">
        <f t="shared" si="26"/>
        <v>338.35488757446461</v>
      </c>
      <c r="L68" s="40">
        <f t="shared" si="26"/>
        <v>335.89901729011763</v>
      </c>
      <c r="M68" s="40">
        <f t="shared" si="26"/>
        <v>333.37239505509137</v>
      </c>
      <c r="N68" s="40">
        <f t="shared" si="26"/>
        <v>330.81714787070587</v>
      </c>
      <c r="O68" s="40">
        <f t="shared" si="26"/>
        <v>328.15173271418632</v>
      </c>
      <c r="P68" s="40">
        <f t="shared" si="26"/>
        <v>325.36773861345802</v>
      </c>
      <c r="Q68" s="40">
        <f t="shared" si="26"/>
        <v>322.53225297324605</v>
      </c>
      <c r="R68" s="40">
        <f t="shared" si="26"/>
        <v>319.59666914685351</v>
      </c>
      <c r="S68" s="40">
        <f t="shared" si="26"/>
        <v>316.30490173855037</v>
      </c>
      <c r="T68" s="40">
        <f t="shared" si="26"/>
        <v>313.00279150807506</v>
      </c>
      <c r="U68" s="40">
        <f t="shared" si="26"/>
        <v>309.73019565365257</v>
      </c>
      <c r="V68" s="40">
        <f t="shared" si="26"/>
        <v>306.52633248981579</v>
      </c>
      <c r="W68" s="40">
        <f t="shared" si="26"/>
        <v>303.38575745295168</v>
      </c>
      <c r="X68" s="40">
        <f t="shared" si="26"/>
        <v>300.41105934284769</v>
      </c>
      <c r="Y68" s="40">
        <f t="shared" si="26"/>
        <v>297.53675105103554</v>
      </c>
      <c r="Z68" s="40">
        <f t="shared" si="26"/>
        <v>294.7564672701111</v>
      </c>
      <c r="AA68" s="40">
        <f t="shared" si="26"/>
        <v>292.06805630194458</v>
      </c>
      <c r="AB68" s="40">
        <f t="shared" si="26"/>
        <v>289.51291189643814</v>
      </c>
    </row>
    <row r="69" spans="1:28" x14ac:dyDescent="0.25">
      <c r="A69" s="4" t="s">
        <v>330</v>
      </c>
      <c r="B69" s="40">
        <f t="shared" ref="B69:AB69" si="27">B50+B51+B52+B53</f>
        <v>370.3468850711734</v>
      </c>
      <c r="C69" s="40">
        <f t="shared" si="27"/>
        <v>369.01487237511697</v>
      </c>
      <c r="D69" s="40">
        <f t="shared" si="27"/>
        <v>364.95526371160997</v>
      </c>
      <c r="E69" s="40">
        <f t="shared" si="27"/>
        <v>360.90548768438646</v>
      </c>
      <c r="F69" s="40">
        <f t="shared" si="27"/>
        <v>356.84008485393218</v>
      </c>
      <c r="G69" s="40">
        <f t="shared" si="27"/>
        <v>352.81910965285954</v>
      </c>
      <c r="H69" s="40">
        <f t="shared" si="27"/>
        <v>348.7631250978871</v>
      </c>
      <c r="I69" s="40">
        <f t="shared" si="27"/>
        <v>345.97873305962662</v>
      </c>
      <c r="J69" s="40">
        <f t="shared" si="27"/>
        <v>343.14736005806293</v>
      </c>
      <c r="K69" s="40">
        <f t="shared" si="27"/>
        <v>340.23709210467865</v>
      </c>
      <c r="L69" s="40">
        <f t="shared" si="27"/>
        <v>337.30310994048841</v>
      </c>
      <c r="M69" s="40">
        <f t="shared" si="27"/>
        <v>334.3292873109973</v>
      </c>
      <c r="N69" s="40">
        <f t="shared" si="27"/>
        <v>331.30808047614357</v>
      </c>
      <c r="O69" s="40">
        <f t="shared" si="27"/>
        <v>328.19209357787093</v>
      </c>
      <c r="P69" s="40">
        <f t="shared" si="27"/>
        <v>324.98384941650795</v>
      </c>
      <c r="Q69" s="40">
        <f t="shared" si="27"/>
        <v>321.72561821054961</v>
      </c>
      <c r="R69" s="40">
        <f t="shared" si="27"/>
        <v>318.39425935170914</v>
      </c>
      <c r="S69" s="40">
        <f t="shared" si="27"/>
        <v>314.69633315426404</v>
      </c>
      <c r="T69" s="40">
        <f t="shared" si="27"/>
        <v>311.00700183065993</v>
      </c>
      <c r="U69" s="40">
        <f t="shared" si="27"/>
        <v>307.35901964105841</v>
      </c>
      <c r="V69" s="40">
        <f t="shared" si="27"/>
        <v>303.78816920221669</v>
      </c>
      <c r="W69" s="40">
        <f t="shared" si="27"/>
        <v>300.27715888417731</v>
      </c>
      <c r="X69" s="40">
        <f t="shared" si="27"/>
        <v>296.94400524224699</v>
      </c>
      <c r="Y69" s="40">
        <f t="shared" si="27"/>
        <v>293.71768986629098</v>
      </c>
      <c r="Z69" s="40">
        <f t="shared" si="27"/>
        <v>290.5936771470237</v>
      </c>
      <c r="AA69" s="40">
        <f t="shared" si="27"/>
        <v>287.59522692714</v>
      </c>
      <c r="AB69" s="40">
        <f t="shared" si="27"/>
        <v>284.70720889545009</v>
      </c>
    </row>
    <row r="70" spans="1:28" x14ac:dyDescent="0.25">
      <c r="A70" s="4" t="s">
        <v>331</v>
      </c>
      <c r="B70" s="40">
        <f t="shared" ref="B70:AB70" si="28">B54+B55</f>
        <v>355.9855681403622</v>
      </c>
      <c r="C70" s="40">
        <f t="shared" si="28"/>
        <v>354.4624676732617</v>
      </c>
      <c r="D70" s="40">
        <f t="shared" si="28"/>
        <v>350.25733854549929</v>
      </c>
      <c r="E70" s="40">
        <f t="shared" si="28"/>
        <v>346.08127170018781</v>
      </c>
      <c r="F70" s="40">
        <f t="shared" si="28"/>
        <v>341.83115420806564</v>
      </c>
      <c r="G70" s="40">
        <f t="shared" si="28"/>
        <v>337.66649352165734</v>
      </c>
      <c r="H70" s="40">
        <f t="shared" si="28"/>
        <v>333.51722205407111</v>
      </c>
      <c r="I70" s="40">
        <f t="shared" si="28"/>
        <v>330.55933401346266</v>
      </c>
      <c r="J70" s="40">
        <f t="shared" si="28"/>
        <v>327.58225353288458</v>
      </c>
      <c r="K70" s="40">
        <f t="shared" si="28"/>
        <v>324.54925404760559</v>
      </c>
      <c r="L70" s="40">
        <f t="shared" si="28"/>
        <v>321.50018963759766</v>
      </c>
      <c r="M70" s="40">
        <f t="shared" si="28"/>
        <v>318.41002166469997</v>
      </c>
      <c r="N70" s="40">
        <f t="shared" si="28"/>
        <v>315.32692551978539</v>
      </c>
      <c r="O70" s="40">
        <f t="shared" si="28"/>
        <v>312.15159982556844</v>
      </c>
      <c r="P70" s="40">
        <f t="shared" si="28"/>
        <v>308.92973512494154</v>
      </c>
      <c r="Q70" s="40">
        <f t="shared" si="28"/>
        <v>305.68568705350577</v>
      </c>
      <c r="R70" s="40">
        <f t="shared" si="28"/>
        <v>302.41512598913084</v>
      </c>
      <c r="S70" s="40">
        <f t="shared" si="28"/>
        <v>298.79221431918592</v>
      </c>
      <c r="T70" s="40">
        <f t="shared" si="28"/>
        <v>295.21358607510928</v>
      </c>
      <c r="U70" s="40">
        <f t="shared" si="28"/>
        <v>291.72519082974497</v>
      </c>
      <c r="V70" s="40">
        <f t="shared" si="28"/>
        <v>288.30846255328913</v>
      </c>
      <c r="W70" s="40">
        <f t="shared" si="28"/>
        <v>285.03880624917844</v>
      </c>
      <c r="X70" s="40">
        <f t="shared" si="28"/>
        <v>281.87653919603565</v>
      </c>
      <c r="Y70" s="40">
        <f t="shared" si="28"/>
        <v>278.84018392573648</v>
      </c>
      <c r="Z70" s="40">
        <f t="shared" si="28"/>
        <v>275.90989664514484</v>
      </c>
      <c r="AA70" s="40">
        <f t="shared" si="28"/>
        <v>273.06583102592163</v>
      </c>
      <c r="AB70" s="40">
        <f t="shared" si="28"/>
        <v>270.33877956958025</v>
      </c>
    </row>
    <row r="71" spans="1:28" x14ac:dyDescent="0.25">
      <c r="A71" s="4" t="s">
        <v>332</v>
      </c>
      <c r="B71" s="40">
        <f t="shared" ref="B71:AB71" si="29">B58+B59</f>
        <v>62355.098283506428</v>
      </c>
      <c r="C71" s="40">
        <f t="shared" si="29"/>
        <v>63677.841176118061</v>
      </c>
      <c r="D71" s="40">
        <f t="shared" si="29"/>
        <v>64523.330364570618</v>
      </c>
      <c r="E71" s="40">
        <f t="shared" si="29"/>
        <v>65383.037681202528</v>
      </c>
      <c r="F71" s="40">
        <f t="shared" si="29"/>
        <v>66268.795858793179</v>
      </c>
      <c r="G71" s="40">
        <f t="shared" si="29"/>
        <v>67183.211532548477</v>
      </c>
      <c r="H71" s="40">
        <f t="shared" si="29"/>
        <v>68126.849162534592</v>
      </c>
      <c r="I71" s="40">
        <f t="shared" si="29"/>
        <v>69335.575769300529</v>
      </c>
      <c r="J71" s="40">
        <f t="shared" si="29"/>
        <v>70568.142231155885</v>
      </c>
      <c r="K71" s="40">
        <f t="shared" si="29"/>
        <v>71815.264391099918</v>
      </c>
      <c r="L71" s="40">
        <f t="shared" si="29"/>
        <v>73073.225761825059</v>
      </c>
      <c r="M71" s="40">
        <f t="shared" si="29"/>
        <v>74339.31233110519</v>
      </c>
      <c r="N71" s="40">
        <f t="shared" si="29"/>
        <v>75601.917157413845</v>
      </c>
      <c r="O71" s="40">
        <f t="shared" si="29"/>
        <v>76852.137279242219</v>
      </c>
      <c r="P71" s="40">
        <f t="shared" si="29"/>
        <v>78083.240090455423</v>
      </c>
      <c r="Q71" s="40">
        <f t="shared" si="29"/>
        <v>79283.642550851553</v>
      </c>
      <c r="R71" s="40">
        <f t="shared" si="29"/>
        <v>80444.049444116259</v>
      </c>
      <c r="S71" s="40">
        <f t="shared" si="29"/>
        <v>81474.916797476209</v>
      </c>
      <c r="T71" s="40">
        <f t="shared" si="29"/>
        <v>82451.735003898473</v>
      </c>
      <c r="U71" s="40">
        <f t="shared" si="29"/>
        <v>83372.497217994387</v>
      </c>
      <c r="V71" s="40">
        <f t="shared" si="29"/>
        <v>84217.232991567202</v>
      </c>
      <c r="W71" s="40">
        <f t="shared" si="29"/>
        <v>84979.227665113227</v>
      </c>
      <c r="X71" s="40">
        <f t="shared" si="29"/>
        <v>85657.664245866952</v>
      </c>
      <c r="Y71" s="40">
        <f t="shared" si="29"/>
        <v>86289.48656318101</v>
      </c>
      <c r="Z71" s="40">
        <f t="shared" si="29"/>
        <v>86839.729143829958</v>
      </c>
      <c r="AA71" s="40">
        <f t="shared" si="29"/>
        <v>87303.418778683073</v>
      </c>
      <c r="AB71" s="40">
        <f t="shared" si="29"/>
        <v>87684.327800002269</v>
      </c>
    </row>
    <row r="72" spans="1:28" x14ac:dyDescent="0.25">
      <c r="A72" s="4" t="s">
        <v>333</v>
      </c>
      <c r="B72" s="40">
        <f t="shared" ref="B72:AB72" si="30">B60+B61+B62+B63</f>
        <v>63800.406072501602</v>
      </c>
      <c r="C72" s="40">
        <f t="shared" si="30"/>
        <v>65137.511696001115</v>
      </c>
      <c r="D72" s="40">
        <f t="shared" si="30"/>
        <v>65984.448952239589</v>
      </c>
      <c r="E72" s="40">
        <f t="shared" si="30"/>
        <v>66842.301528413562</v>
      </c>
      <c r="F72" s="40">
        <f t="shared" si="30"/>
        <v>67724.16162775275</v>
      </c>
      <c r="G72" s="40">
        <f t="shared" si="30"/>
        <v>68631.962743539756</v>
      </c>
      <c r="H72" s="40">
        <f t="shared" si="30"/>
        <v>69566.627000454027</v>
      </c>
      <c r="I72" s="40">
        <f t="shared" si="30"/>
        <v>70768.965355812019</v>
      </c>
      <c r="J72" s="40">
        <f t="shared" si="30"/>
        <v>71993.335120610835</v>
      </c>
      <c r="K72" s="40">
        <f t="shared" si="30"/>
        <v>73229.78543582838</v>
      </c>
      <c r="L72" s="40">
        <f t="shared" si="30"/>
        <v>74474.468311227232</v>
      </c>
      <c r="M72" s="40">
        <f t="shared" si="30"/>
        <v>75724.717826083215</v>
      </c>
      <c r="N72" s="40">
        <f t="shared" si="30"/>
        <v>76969.163699758632</v>
      </c>
      <c r="O72" s="40">
        <f t="shared" si="30"/>
        <v>78198.583741531882</v>
      </c>
      <c r="P72" s="40">
        <f t="shared" si="30"/>
        <v>79406.119815387763</v>
      </c>
      <c r="Q72" s="40">
        <f t="shared" si="30"/>
        <v>80580.092736846156</v>
      </c>
      <c r="R72" s="40">
        <f t="shared" si="30"/>
        <v>81711.146469317478</v>
      </c>
      <c r="S72" s="40">
        <f t="shared" si="30"/>
        <v>82708.994896784439</v>
      </c>
      <c r="T72" s="40">
        <f t="shared" si="30"/>
        <v>83649.65239250366</v>
      </c>
      <c r="U72" s="40">
        <f t="shared" si="30"/>
        <v>84531.976085036222</v>
      </c>
      <c r="V72" s="40">
        <f t="shared" si="30"/>
        <v>85335.138205464682</v>
      </c>
      <c r="W72" s="40">
        <f t="shared" si="30"/>
        <v>86051.618974202924</v>
      </c>
      <c r="X72" s="40">
        <f t="shared" si="30"/>
        <v>86680.571432093959</v>
      </c>
      <c r="Y72" s="40">
        <f t="shared" si="30"/>
        <v>87260.797005142318</v>
      </c>
      <c r="Z72" s="40">
        <f t="shared" si="30"/>
        <v>87755.731047266163</v>
      </c>
      <c r="AA72" s="40">
        <f t="shared" si="30"/>
        <v>88160.184351243865</v>
      </c>
      <c r="AB72" s="40">
        <f t="shared" si="30"/>
        <v>88478.034015714758</v>
      </c>
    </row>
    <row r="73" spans="1:28" x14ac:dyDescent="0.25">
      <c r="A73" s="4" t="s">
        <v>334</v>
      </c>
      <c r="B73" s="40">
        <f t="shared" ref="B73:AB73" si="31">B64+B65</f>
        <v>67355.481217831402</v>
      </c>
      <c r="C73" s="40">
        <f t="shared" si="31"/>
        <v>68712.482887115868</v>
      </c>
      <c r="D73" s="40">
        <f t="shared" si="31"/>
        <v>69551.263808674572</v>
      </c>
      <c r="E73" s="40">
        <f t="shared" si="31"/>
        <v>70403.092372953237</v>
      </c>
      <c r="F73" s="40">
        <f t="shared" si="31"/>
        <v>71281.372190682785</v>
      </c>
      <c r="G73" s="40">
        <f t="shared" si="31"/>
        <v>72188.521803020543</v>
      </c>
      <c r="H73" s="40">
        <f t="shared" si="31"/>
        <v>73123.605386322888</v>
      </c>
      <c r="I73" s="40">
        <f t="shared" si="31"/>
        <v>74339.097643393776</v>
      </c>
      <c r="J73" s="40">
        <f t="shared" si="31"/>
        <v>75576.527870466263</v>
      </c>
      <c r="K73" s="40">
        <f t="shared" si="31"/>
        <v>76824.14722676875</v>
      </c>
      <c r="L73" s="40">
        <f t="shared" si="31"/>
        <v>78076.716172320448</v>
      </c>
      <c r="M73" s="40">
        <f t="shared" si="31"/>
        <v>79332.430101681472</v>
      </c>
      <c r="N73" s="40">
        <f t="shared" si="31"/>
        <v>80576.529017502122</v>
      </c>
      <c r="O73" s="40">
        <f t="shared" si="31"/>
        <v>81799.816892610499</v>
      </c>
      <c r="P73" s="40">
        <f t="shared" si="31"/>
        <v>82994.764522354264</v>
      </c>
      <c r="Q73" s="40">
        <f t="shared" si="31"/>
        <v>84147.90788622816</v>
      </c>
      <c r="R73" s="40">
        <f t="shared" si="31"/>
        <v>85249.838201132516</v>
      </c>
      <c r="S73" s="40">
        <f t="shared" si="31"/>
        <v>86205.25309725391</v>
      </c>
      <c r="T73" s="40">
        <f t="shared" si="31"/>
        <v>87093.951013714322</v>
      </c>
      <c r="U73" s="40">
        <f t="shared" si="31"/>
        <v>87914.153168691206</v>
      </c>
      <c r="V73" s="40">
        <f t="shared" si="31"/>
        <v>88643.978455848584</v>
      </c>
      <c r="W73" s="40">
        <f t="shared" si="31"/>
        <v>89276.915580273999</v>
      </c>
      <c r="X73" s="40">
        <f t="shared" si="31"/>
        <v>89811.009817126251</v>
      </c>
      <c r="Y73" s="40">
        <f t="shared" si="31"/>
        <v>90290.090663862517</v>
      </c>
      <c r="Z73" s="40">
        <f t="shared" si="31"/>
        <v>90674.331356177237</v>
      </c>
      <c r="AA73" s="40">
        <f t="shared" si="31"/>
        <v>90960.098083700228</v>
      </c>
      <c r="AB73" s="40">
        <f t="shared" si="31"/>
        <v>91152.00829855034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200.68923695280043</v>
      </c>
      <c r="C2" s="37">
        <f>BDbDT_calcs!C48</f>
        <v>200.01527136764929</v>
      </c>
      <c r="D2" s="37">
        <f>BDbDT_calcs!D48</f>
        <v>197.83850554564364</v>
      </c>
      <c r="E2" s="37">
        <f>BDbDT_calcs!E48</f>
        <v>195.69970807386972</v>
      </c>
      <c r="F2" s="37">
        <f>BDbDT_calcs!F48</f>
        <v>193.55738791846395</v>
      </c>
      <c r="G2" s="37">
        <f>BDbDT_calcs!G48</f>
        <v>191.41179557983352</v>
      </c>
      <c r="H2" s="37">
        <f>BDbDT_calcs!H48</f>
        <v>189.26415176341894</v>
      </c>
      <c r="I2" s="37">
        <f>BDbDT_calcs!I48</f>
        <v>187.87445518415313</v>
      </c>
      <c r="J2" s="37">
        <f>BDbDT_calcs!J48</f>
        <v>186.36416863243767</v>
      </c>
      <c r="K2" s="37">
        <f>BDbDT_calcs!K48</f>
        <v>184.89544574444503</v>
      </c>
      <c r="L2" s="37">
        <f>BDbDT_calcs!L48</f>
        <v>183.32000004931547</v>
      </c>
      <c r="M2" s="37">
        <f>BDbDT_calcs!M48</f>
        <v>181.78589419832485</v>
      </c>
      <c r="N2" s="37">
        <f>BDbDT_calcs!N48</f>
        <v>180.31424856173959</v>
      </c>
      <c r="O2" s="37">
        <f>BDbDT_calcs!O48</f>
        <v>178.60654732041243</v>
      </c>
      <c r="P2" s="37">
        <f>BDbDT_calcs!P48</f>
        <v>176.98122774572184</v>
      </c>
      <c r="Q2" s="37">
        <f>BDbDT_calcs!Q48</f>
        <v>175.24506724097895</v>
      </c>
      <c r="R2" s="37">
        <f>BDbDT_calcs!R48</f>
        <v>173.50336568043519</v>
      </c>
      <c r="S2" s="37">
        <f>BDbDT_calcs!S48</f>
        <v>171.53827317036433</v>
      </c>
      <c r="T2" s="37">
        <f>BDbDT_calcs!T48</f>
        <v>169.59086622724084</v>
      </c>
      <c r="U2" s="37">
        <f>BDbDT_calcs!U48</f>
        <v>167.65893201258089</v>
      </c>
      <c r="V2" s="37">
        <f>BDbDT_calcs!V48</f>
        <v>165.73976200793018</v>
      </c>
      <c r="W2" s="37">
        <f>BDbDT_calcs!W48</f>
        <v>163.85210325856852</v>
      </c>
      <c r="X2" s="37">
        <f>BDbDT_calcs!X48</f>
        <v>162.14502122706114</v>
      </c>
      <c r="Y2" s="37">
        <f>BDbDT_calcs!Y48</f>
        <v>160.4438034349221</v>
      </c>
      <c r="Z2" s="37">
        <f>BDbDT_calcs!Z48</f>
        <v>158.85480292089363</v>
      </c>
      <c r="AA2" s="37">
        <f>BDbDT_calcs!AA48</f>
        <v>157.28894926338651</v>
      </c>
      <c r="AB2" s="37">
        <f>BDbDT_calcs!AB48</f>
        <v>155.72215964518617</v>
      </c>
    </row>
    <row r="3" spans="1:28" x14ac:dyDescent="0.25">
      <c r="A3" s="4" t="s">
        <v>216</v>
      </c>
      <c r="B3" s="37">
        <f>BDbDT_calcs!B49</f>
        <v>163.37589224994832</v>
      </c>
      <c r="C3" s="37">
        <f>BDbDT_calcs!C49</f>
        <v>163.16858971405782</v>
      </c>
      <c r="D3" s="37">
        <f>BDbDT_calcs!D49</f>
        <v>161.75309020788603</v>
      </c>
      <c r="E3" s="37">
        <f>BDbDT_calcs!E49</f>
        <v>160.34462851089802</v>
      </c>
      <c r="F3" s="37">
        <f>BDbDT_calcs!F49</f>
        <v>158.92266753376401</v>
      </c>
      <c r="G3" s="37">
        <f>BDbDT_calcs!G49</f>
        <v>157.53084863226593</v>
      </c>
      <c r="H3" s="37">
        <f>BDbDT_calcs!H49</f>
        <v>156.14851672747616</v>
      </c>
      <c r="I3" s="37">
        <f>BDbDT_calcs!I49</f>
        <v>155.23075983611633</v>
      </c>
      <c r="J3" s="37">
        <f>BDbDT_calcs!J49</f>
        <v>154.40099530826154</v>
      </c>
      <c r="K3" s="37">
        <f>BDbDT_calcs!K49</f>
        <v>153.45944183001959</v>
      </c>
      <c r="L3" s="37">
        <f>BDbDT_calcs!L49</f>
        <v>152.57901724080213</v>
      </c>
      <c r="M3" s="37">
        <f>BDbDT_calcs!M49</f>
        <v>151.58650085676655</v>
      </c>
      <c r="N3" s="37">
        <f>BDbDT_calcs!N49</f>
        <v>150.50289930896628</v>
      </c>
      <c r="O3" s="37">
        <f>BDbDT_calcs!O49</f>
        <v>149.54518539377392</v>
      </c>
      <c r="P3" s="37">
        <f>BDbDT_calcs!P49</f>
        <v>148.38651086773618</v>
      </c>
      <c r="Q3" s="37">
        <f>BDbDT_calcs!Q49</f>
        <v>147.28718573226706</v>
      </c>
      <c r="R3" s="37">
        <f>BDbDT_calcs!R49</f>
        <v>146.09330346641829</v>
      </c>
      <c r="S3" s="37">
        <f>BDbDT_calcs!S49</f>
        <v>144.76662856818601</v>
      </c>
      <c r="T3" s="37">
        <f>BDbDT_calcs!T49</f>
        <v>143.41192528083423</v>
      </c>
      <c r="U3" s="37">
        <f>BDbDT_calcs!U49</f>
        <v>142.07126364107165</v>
      </c>
      <c r="V3" s="37">
        <f>BDbDT_calcs!V49</f>
        <v>140.7865704818856</v>
      </c>
      <c r="W3" s="37">
        <f>BDbDT_calcs!W49</f>
        <v>139.53365419438319</v>
      </c>
      <c r="X3" s="37">
        <f>BDbDT_calcs!X49</f>
        <v>138.26603811578656</v>
      </c>
      <c r="Y3" s="37">
        <f>BDbDT_calcs!Y49</f>
        <v>137.09294761611343</v>
      </c>
      <c r="Z3" s="37">
        <f>BDbDT_calcs!Z49</f>
        <v>135.90166434921744</v>
      </c>
      <c r="AA3" s="37">
        <f>BDbDT_calcs!AA49</f>
        <v>134.77910703855804</v>
      </c>
      <c r="AB3" s="37">
        <f>BDbDT_calcs!AB49</f>
        <v>133.79075225125197</v>
      </c>
    </row>
    <row r="4" spans="1:28" x14ac:dyDescent="0.25">
      <c r="A4" s="4" t="s">
        <v>217</v>
      </c>
      <c r="B4" s="37">
        <f>BDbDT_calcs!B50</f>
        <v>220.98204788432955</v>
      </c>
      <c r="C4" s="37">
        <f>BDbDT_calcs!C50</f>
        <v>220.45091505891637</v>
      </c>
      <c r="D4" s="37">
        <f>BDbDT_calcs!D50</f>
        <v>218.30961957807668</v>
      </c>
      <c r="E4" s="37">
        <f>BDbDT_calcs!E50</f>
        <v>216.16384990818969</v>
      </c>
      <c r="F4" s="37">
        <f>BDbDT_calcs!F50</f>
        <v>214.03746360431313</v>
      </c>
      <c r="G4" s="37">
        <f>BDbDT_calcs!G50</f>
        <v>211.95287538088832</v>
      </c>
      <c r="H4" s="37">
        <f>BDbDT_calcs!H50</f>
        <v>209.82244557273381</v>
      </c>
      <c r="I4" s="37">
        <f>BDbDT_calcs!I50</f>
        <v>208.48383858440081</v>
      </c>
      <c r="J4" s="37">
        <f>BDbDT_calcs!J50</f>
        <v>207.06499671168655</v>
      </c>
      <c r="K4" s="37">
        <f>BDbDT_calcs!K50</f>
        <v>205.58040263316587</v>
      </c>
      <c r="L4" s="37">
        <f>BDbDT_calcs!L50</f>
        <v>204.00757879730975</v>
      </c>
      <c r="M4" s="37">
        <f>BDbDT_calcs!M50</f>
        <v>202.34601278141568</v>
      </c>
      <c r="N4" s="37">
        <f>BDbDT_calcs!N50</f>
        <v>200.59489739703145</v>
      </c>
      <c r="O4" s="37">
        <f>BDbDT_calcs!O50</f>
        <v>198.6860937499419</v>
      </c>
      <c r="P4" s="37">
        <f>BDbDT_calcs!P50</f>
        <v>196.70776841913948</v>
      </c>
      <c r="Q4" s="37">
        <f>BDbDT_calcs!Q50</f>
        <v>194.63577621518883</v>
      </c>
      <c r="R4" s="37">
        <f>BDbDT_calcs!R50</f>
        <v>192.46802869015337</v>
      </c>
      <c r="S4" s="37">
        <f>BDbDT_calcs!S50</f>
        <v>190.0553376450527</v>
      </c>
      <c r="T4" s="37">
        <f>BDbDT_calcs!T50</f>
        <v>187.66153347156552</v>
      </c>
      <c r="U4" s="37">
        <f>BDbDT_calcs!U50</f>
        <v>185.28406771232264</v>
      </c>
      <c r="V4" s="37">
        <f>BDbDT_calcs!V50</f>
        <v>182.94255835136124</v>
      </c>
      <c r="W4" s="37">
        <f>BDbDT_calcs!W50</f>
        <v>180.67935389786933</v>
      </c>
      <c r="X4" s="37">
        <f>BDbDT_calcs!X50</f>
        <v>178.51443226767279</v>
      </c>
      <c r="Y4" s="37">
        <f>BDbDT_calcs!Y50</f>
        <v>176.4004746548776</v>
      </c>
      <c r="Z4" s="37">
        <f>BDbDT_calcs!Z50</f>
        <v>174.35780713324118</v>
      </c>
      <c r="AA4" s="37">
        <f>BDbDT_calcs!AA50</f>
        <v>172.42999285124745</v>
      </c>
      <c r="AB4" s="37">
        <f>BDbDT_calcs!AB50</f>
        <v>170.5691893042536</v>
      </c>
    </row>
    <row r="5" spans="1:28" x14ac:dyDescent="0.25">
      <c r="A5" s="4" t="s">
        <v>218</v>
      </c>
      <c r="B5" s="37">
        <f>BDbDT_calcs!B51</f>
        <v>121.22507547946742</v>
      </c>
      <c r="C5" s="37">
        <f>BDbDT_calcs!C51</f>
        <v>120.09693456108818</v>
      </c>
      <c r="D5" s="37">
        <f>BDbDT_calcs!D51</f>
        <v>118.10448368442165</v>
      </c>
      <c r="E5" s="37">
        <f>BDbDT_calcs!E51</f>
        <v>116.08731275287818</v>
      </c>
      <c r="F5" s="37">
        <f>BDbDT_calcs!F51</f>
        <v>114.04613231942128</v>
      </c>
      <c r="G5" s="37">
        <f>BDbDT_calcs!G51</f>
        <v>112.03239265568584</v>
      </c>
      <c r="H5" s="37">
        <f>BDbDT_calcs!H51</f>
        <v>109.96930420667177</v>
      </c>
      <c r="I5" s="37">
        <f>BDbDT_calcs!I51</f>
        <v>108.33675679373562</v>
      </c>
      <c r="J5" s="37">
        <f>BDbDT_calcs!J51</f>
        <v>106.71820143512511</v>
      </c>
      <c r="K5" s="37">
        <f>BDbDT_calcs!K51</f>
        <v>105.10942035299897</v>
      </c>
      <c r="L5" s="37">
        <f>BDbDT_calcs!L51</f>
        <v>103.56170825384258</v>
      </c>
      <c r="M5" s="37">
        <f>BDbDT_calcs!M51</f>
        <v>102.10078333449273</v>
      </c>
      <c r="N5" s="37">
        <f>BDbDT_calcs!N51</f>
        <v>100.64903352245835</v>
      </c>
      <c r="O5" s="37">
        <f>BDbDT_calcs!O51</f>
        <v>99.283778615150908</v>
      </c>
      <c r="P5" s="37">
        <f>BDbDT_calcs!P51</f>
        <v>97.927064204585221</v>
      </c>
      <c r="Q5" s="37">
        <f>BDbDT_calcs!Q51</f>
        <v>96.630217142444849</v>
      </c>
      <c r="R5" s="37">
        <f>BDbDT_calcs!R51</f>
        <v>95.366704928175636</v>
      </c>
      <c r="S5" s="37">
        <f>BDbDT_calcs!S51</f>
        <v>94.014696541767151</v>
      </c>
      <c r="T5" s="37">
        <f>BDbDT_calcs!T51</f>
        <v>92.697710666752187</v>
      </c>
      <c r="U5" s="37">
        <f>BDbDT_calcs!U51</f>
        <v>91.388354387530711</v>
      </c>
      <c r="V5" s="37">
        <f>BDbDT_calcs!V51</f>
        <v>90.137548227287269</v>
      </c>
      <c r="W5" s="37">
        <f>BDbDT_calcs!W51</f>
        <v>88.865032388648928</v>
      </c>
      <c r="X5" s="37">
        <f>BDbDT_calcs!X51</f>
        <v>87.648082541569948</v>
      </c>
      <c r="Y5" s="37">
        <f>BDbDT_calcs!Y51</f>
        <v>86.512310465451137</v>
      </c>
      <c r="Z5" s="37">
        <f>BDbDT_calcs!Z51</f>
        <v>85.377393417383018</v>
      </c>
      <c r="AA5" s="37">
        <f>BDbDT_calcs!AA51</f>
        <v>84.294993932545509</v>
      </c>
      <c r="AB5" s="37">
        <f>BDbDT_calcs!AB51</f>
        <v>83.21099390699321</v>
      </c>
    </row>
    <row r="6" spans="1:28" x14ac:dyDescent="0.25">
      <c r="A6" s="4" t="s">
        <v>219</v>
      </c>
      <c r="B6" s="37">
        <f>BDbDT_calcs!B52</f>
        <v>6.5542101314776167</v>
      </c>
      <c r="C6" s="37">
        <f>BDbDT_calcs!C52</f>
        <v>6.604788623628199</v>
      </c>
      <c r="D6" s="37">
        <f>BDbDT_calcs!D52</f>
        <v>6.606520642824087</v>
      </c>
      <c r="E6" s="37">
        <f>BDbDT_calcs!E52</f>
        <v>6.6166516609709367</v>
      </c>
      <c r="F6" s="37">
        <f>BDbDT_calcs!F52</f>
        <v>6.6276053365006167</v>
      </c>
      <c r="G6" s="37">
        <f>BDbDT_calcs!G52</f>
        <v>6.6394161446336799</v>
      </c>
      <c r="H6" s="37">
        <f>BDbDT_calcs!H52</f>
        <v>6.6521551205710567</v>
      </c>
      <c r="I6" s="37">
        <f>BDbDT_calcs!I52</f>
        <v>6.689165835000793</v>
      </c>
      <c r="J6" s="37">
        <f>BDbDT_calcs!J52</f>
        <v>6.7273468591042658</v>
      </c>
      <c r="K6" s="37">
        <f>BDbDT_calcs!K52</f>
        <v>6.7816178696908187</v>
      </c>
      <c r="L6" s="37">
        <f>BDbDT_calcs!L52</f>
        <v>6.8218007097801978</v>
      </c>
      <c r="M6" s="37">
        <f>BDbDT_calcs!M52</f>
        <v>6.8630336655093842</v>
      </c>
      <c r="N6" s="37">
        <f>BDbDT_calcs!N52</f>
        <v>6.9053488639156697</v>
      </c>
      <c r="O6" s="37">
        <f>BDbDT_calcs!O52</f>
        <v>6.9487796224872458</v>
      </c>
      <c r="P6" s="37">
        <f>BDbDT_calcs!P52</f>
        <v>6.9857250484710551</v>
      </c>
      <c r="Q6" s="37">
        <f>BDbDT_calcs!Q52</f>
        <v>7.0314330701062042</v>
      </c>
      <c r="R6" s="37">
        <f>BDbDT_calcs!R52</f>
        <v>7.0629755336899089</v>
      </c>
      <c r="S6" s="37">
        <f>BDbDT_calcs!S52</f>
        <v>7.0961035506228169</v>
      </c>
      <c r="T6" s="37">
        <f>BDbDT_calcs!T52</f>
        <v>7.1379906245760445</v>
      </c>
      <c r="U6" s="37">
        <f>BDbDT_calcs!U52</f>
        <v>7.1655416659398048</v>
      </c>
      <c r="V6" s="37">
        <f>BDbDT_calcs!V52</f>
        <v>7.2017375440192017</v>
      </c>
      <c r="W6" s="37">
        <f>BDbDT_calcs!W52</f>
        <v>7.2388114793907068</v>
      </c>
      <c r="X6" s="37">
        <f>BDbDT_calcs!X52</f>
        <v>7.2689340863362197</v>
      </c>
      <c r="Y6" s="37">
        <f>BDbDT_calcs!Y52</f>
        <v>7.3152752900640445</v>
      </c>
      <c r="Z6" s="37">
        <f>BDbDT_calcs!Z52</f>
        <v>7.3467506635837365</v>
      </c>
      <c r="AA6" s="37">
        <f>BDbDT_calcs!AA52</f>
        <v>7.3787506361665001</v>
      </c>
      <c r="AB6" s="37">
        <f>BDbDT_calcs!AB52</f>
        <v>7.4111831867676532</v>
      </c>
    </row>
    <row r="7" spans="1:28" x14ac:dyDescent="0.25">
      <c r="A7" s="4" t="s">
        <v>220</v>
      </c>
      <c r="B7" s="37">
        <f>BDbDT_calcs!B53</f>
        <v>21.585551575898805</v>
      </c>
      <c r="C7" s="37">
        <f>BDbDT_calcs!C53</f>
        <v>21.862234131484225</v>
      </c>
      <c r="D7" s="37">
        <f>BDbDT_calcs!D53</f>
        <v>21.934639806287599</v>
      </c>
      <c r="E7" s="37">
        <f>BDbDT_calcs!E53</f>
        <v>22.037673362347668</v>
      </c>
      <c r="F7" s="37">
        <f>BDbDT_calcs!F53</f>
        <v>22.128883593697218</v>
      </c>
      <c r="G7" s="37">
        <f>BDbDT_calcs!G53</f>
        <v>22.194425471651709</v>
      </c>
      <c r="H7" s="37">
        <f>BDbDT_calcs!H53</f>
        <v>22.319220197910429</v>
      </c>
      <c r="I7" s="37">
        <f>BDbDT_calcs!I53</f>
        <v>22.468971846489382</v>
      </c>
      <c r="J7" s="37">
        <f>BDbDT_calcs!J53</f>
        <v>22.63681505214705</v>
      </c>
      <c r="K7" s="37">
        <f>BDbDT_calcs!K53</f>
        <v>22.765651248823037</v>
      </c>
      <c r="L7" s="37">
        <f>BDbDT_calcs!L53</f>
        <v>22.912022179555901</v>
      </c>
      <c r="M7" s="37">
        <f>BDbDT_calcs!M53</f>
        <v>23.019457529579554</v>
      </c>
      <c r="N7" s="37">
        <f>BDbDT_calcs!N53</f>
        <v>23.158800692738104</v>
      </c>
      <c r="O7" s="37">
        <f>BDbDT_calcs!O53</f>
        <v>23.27344159029095</v>
      </c>
      <c r="P7" s="37">
        <f>BDbDT_calcs!P53</f>
        <v>23.363291744312164</v>
      </c>
      <c r="Q7" s="37">
        <f>BDbDT_calcs!Q53</f>
        <v>23.42819178280973</v>
      </c>
      <c r="R7" s="37">
        <f>BDbDT_calcs!R53</f>
        <v>23.496550199690247</v>
      </c>
      <c r="S7" s="37">
        <f>BDbDT_calcs!S53</f>
        <v>23.530195416821361</v>
      </c>
      <c r="T7" s="37">
        <f>BDbDT_calcs!T53</f>
        <v>23.509767067766166</v>
      </c>
      <c r="U7" s="37">
        <f>BDbDT_calcs!U53</f>
        <v>23.521055875265251</v>
      </c>
      <c r="V7" s="37">
        <f>BDbDT_calcs!V53</f>
        <v>23.506325079549018</v>
      </c>
      <c r="W7" s="37">
        <f>BDbDT_calcs!W53</f>
        <v>23.493961118268309</v>
      </c>
      <c r="X7" s="37">
        <f>BDbDT_calcs!X53</f>
        <v>23.512556346668024</v>
      </c>
      <c r="Y7" s="37">
        <f>BDbDT_calcs!Y53</f>
        <v>23.489629455898189</v>
      </c>
      <c r="Z7" s="37">
        <f>BDbDT_calcs!Z53</f>
        <v>23.511725932815757</v>
      </c>
      <c r="AA7" s="37">
        <f>BDbDT_calcs!AA53</f>
        <v>23.49148950718056</v>
      </c>
      <c r="AB7" s="37">
        <f>BDbDT_calcs!AB53</f>
        <v>23.515842497435646</v>
      </c>
    </row>
    <row r="8" spans="1:28" x14ac:dyDescent="0.25">
      <c r="A8" s="4" t="s">
        <v>221</v>
      </c>
      <c r="B8" s="37">
        <f>BDbDT_calcs!B54</f>
        <v>33.915937248339922</v>
      </c>
      <c r="C8" s="37">
        <f>BDbDT_calcs!C54</f>
        <v>34.200867812347632</v>
      </c>
      <c r="D8" s="37">
        <f>BDbDT_calcs!D54</f>
        <v>34.250562793029481</v>
      </c>
      <c r="E8" s="37">
        <f>BDbDT_calcs!E54</f>
        <v>34.312974696067698</v>
      </c>
      <c r="F8" s="37">
        <f>BDbDT_calcs!F54</f>
        <v>34.405951708224762</v>
      </c>
      <c r="G8" s="37">
        <f>BDbDT_calcs!G54</f>
        <v>34.468126410675112</v>
      </c>
      <c r="H8" s="37">
        <f>BDbDT_calcs!H54</f>
        <v>34.526376364770108</v>
      </c>
      <c r="I8" s="37">
        <f>BDbDT_calcs!I54</f>
        <v>34.701867717598368</v>
      </c>
      <c r="J8" s="37">
        <f>BDbDT_calcs!J54</f>
        <v>34.865877520808823</v>
      </c>
      <c r="K8" s="37">
        <f>BDbDT_calcs!K54</f>
        <v>35.017286386783546</v>
      </c>
      <c r="L8" s="37">
        <f>BDbDT_calcs!L54</f>
        <v>35.147434282993103</v>
      </c>
      <c r="M8" s="37">
        <f>BDbDT_calcs!M54</f>
        <v>35.256367890946649</v>
      </c>
      <c r="N8" s="37">
        <f>BDbDT_calcs!N54</f>
        <v>35.34408227617206</v>
      </c>
      <c r="O8" s="37">
        <f>BDbDT_calcs!O54</f>
        <v>35.410554642215956</v>
      </c>
      <c r="P8" s="37">
        <f>BDbDT_calcs!P54</f>
        <v>35.429158832527207</v>
      </c>
      <c r="Q8" s="37">
        <f>BDbDT_calcs!Q54</f>
        <v>35.426137651073567</v>
      </c>
      <c r="R8" s="37">
        <f>BDbDT_calcs!R54</f>
        <v>35.374577762241522</v>
      </c>
      <c r="S8" s="37">
        <f>BDbDT_calcs!S54</f>
        <v>35.291752742055543</v>
      </c>
      <c r="T8" s="37">
        <f>BDbDT_calcs!T54</f>
        <v>35.177882338316884</v>
      </c>
      <c r="U8" s="37">
        <f>BDbDT_calcs!U54</f>
        <v>35.032461206176521</v>
      </c>
      <c r="V8" s="37">
        <f>BDbDT_calcs!V54</f>
        <v>34.8906186935981</v>
      </c>
      <c r="W8" s="37">
        <f>BDbDT_calcs!W54</f>
        <v>34.707032213912882</v>
      </c>
      <c r="X8" s="37">
        <f>BDbDT_calcs!X54</f>
        <v>34.570700077743012</v>
      </c>
      <c r="Y8" s="37">
        <f>BDbDT_calcs!Y54</f>
        <v>34.427560769371205</v>
      </c>
      <c r="Z8" s="37">
        <f>BDbDT_calcs!Z54</f>
        <v>34.286086087000086</v>
      </c>
      <c r="AA8" s="37">
        <f>BDbDT_calcs!AA54</f>
        <v>34.154824093916517</v>
      </c>
      <c r="AB8" s="37">
        <f>BDbDT_calcs!AB54</f>
        <v>34.042419395112233</v>
      </c>
    </row>
    <row r="9" spans="1:28" x14ac:dyDescent="0.25">
      <c r="A9" s="4" t="s">
        <v>222</v>
      </c>
      <c r="B9" s="37">
        <f>BDbDT_calcs!B55</f>
        <v>322.0696308920223</v>
      </c>
      <c r="C9" s="37">
        <f>BDbDT_calcs!C55</f>
        <v>320.26159986091409</v>
      </c>
      <c r="D9" s="37">
        <f>BDbDT_calcs!D55</f>
        <v>316.00677575246982</v>
      </c>
      <c r="E9" s="37">
        <f>BDbDT_calcs!E55</f>
        <v>311.76829700412009</v>
      </c>
      <c r="F9" s="37">
        <f>BDbDT_calcs!F55</f>
        <v>307.42520249984085</v>
      </c>
      <c r="G9" s="37">
        <f>BDbDT_calcs!G55</f>
        <v>303.19836711098225</v>
      </c>
      <c r="H9" s="37">
        <f>BDbDT_calcs!H55</f>
        <v>298.99084568930101</v>
      </c>
      <c r="I9" s="37">
        <f>BDbDT_calcs!I55</f>
        <v>295.8574662958643</v>
      </c>
      <c r="J9" s="37">
        <f>BDbDT_calcs!J55</f>
        <v>292.71637601207578</v>
      </c>
      <c r="K9" s="37">
        <f>BDbDT_calcs!K55</f>
        <v>289.53196766082203</v>
      </c>
      <c r="L9" s="37">
        <f>BDbDT_calcs!L55</f>
        <v>286.35275535460454</v>
      </c>
      <c r="M9" s="37">
        <f>BDbDT_calcs!M55</f>
        <v>283.15365377375332</v>
      </c>
      <c r="N9" s="37">
        <f>BDbDT_calcs!N55</f>
        <v>279.98284324361333</v>
      </c>
      <c r="O9" s="37">
        <f>BDbDT_calcs!O55</f>
        <v>276.74104518335247</v>
      </c>
      <c r="P9" s="37">
        <f>BDbDT_calcs!P55</f>
        <v>273.50057629241434</v>
      </c>
      <c r="Q9" s="37">
        <f>BDbDT_calcs!Q55</f>
        <v>270.25954940243219</v>
      </c>
      <c r="R9" s="37">
        <f>BDbDT_calcs!R55</f>
        <v>267.04054822688931</v>
      </c>
      <c r="S9" s="37">
        <f>BDbDT_calcs!S55</f>
        <v>263.50046157713035</v>
      </c>
      <c r="T9" s="37">
        <f>BDbDT_calcs!T55</f>
        <v>260.03570373679241</v>
      </c>
      <c r="U9" s="37">
        <f>BDbDT_calcs!U55</f>
        <v>256.69272962356848</v>
      </c>
      <c r="V9" s="37">
        <f>BDbDT_calcs!V55</f>
        <v>253.41784385969106</v>
      </c>
      <c r="W9" s="37">
        <f>BDbDT_calcs!W55</f>
        <v>250.33177403526557</v>
      </c>
      <c r="X9" s="37">
        <f>BDbDT_calcs!X55</f>
        <v>247.30583911829262</v>
      </c>
      <c r="Y9" s="37">
        <f>BDbDT_calcs!Y55</f>
        <v>244.4126231563653</v>
      </c>
      <c r="Z9" s="37">
        <f>BDbDT_calcs!Z55</f>
        <v>241.62381055814475</v>
      </c>
      <c r="AA9" s="37">
        <f>BDbDT_calcs!AA55</f>
        <v>238.91100693200508</v>
      </c>
      <c r="AB9" s="37">
        <f>BDbDT_calcs!AB55</f>
        <v>236.29636017446802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31824.054244572122</v>
      </c>
      <c r="C2" s="37">
        <f>BDbDT_calcs!C58</f>
        <v>32540.407405122249</v>
      </c>
      <c r="D2" s="37">
        <f>BDbDT_calcs!D58</f>
        <v>33011.771063629843</v>
      </c>
      <c r="E2" s="37">
        <f>BDbDT_calcs!E58</f>
        <v>33481.908939184126</v>
      </c>
      <c r="F2" s="37">
        <f>BDbDT_calcs!F58</f>
        <v>33953.725802435431</v>
      </c>
      <c r="G2" s="37">
        <f>BDbDT_calcs!G58</f>
        <v>34428.244735876324</v>
      </c>
      <c r="H2" s="37">
        <f>BDbDT_calcs!H58</f>
        <v>34903.13335229153</v>
      </c>
      <c r="I2" s="37">
        <f>BDbDT_calcs!I58</f>
        <v>35499.84271375653</v>
      </c>
      <c r="J2" s="37">
        <f>BDbDT_calcs!J58</f>
        <v>36093.056107831297</v>
      </c>
      <c r="K2" s="37">
        <f>BDbDT_calcs!K58</f>
        <v>36682.1339318463</v>
      </c>
      <c r="L2" s="37">
        <f>BDbDT_calcs!L58</f>
        <v>37263.95251725577</v>
      </c>
      <c r="M2" s="37">
        <f>BDbDT_calcs!M58</f>
        <v>37837.851184392661</v>
      </c>
      <c r="N2" s="37">
        <f>BDbDT_calcs!N58</f>
        <v>38399.912200581333</v>
      </c>
      <c r="O2" s="37">
        <f>BDbDT_calcs!O58</f>
        <v>38948.614853631123</v>
      </c>
      <c r="P2" s="37">
        <f>BDbDT_calcs!P58</f>
        <v>39478.863209368472</v>
      </c>
      <c r="Q2" s="37">
        <f>BDbDT_calcs!Q58</f>
        <v>39989.725355537943</v>
      </c>
      <c r="R2" s="37">
        <f>BDbDT_calcs!R58</f>
        <v>40474.976737459634</v>
      </c>
      <c r="S2" s="37">
        <f>BDbDT_calcs!S58</f>
        <v>40893.460674295638</v>
      </c>
      <c r="T2" s="37">
        <f>BDbDT_calcs!T58</f>
        <v>41283.634357920026</v>
      </c>
      <c r="U2" s="37">
        <f>BDbDT_calcs!U58</f>
        <v>41647.483458096882</v>
      </c>
      <c r="V2" s="37">
        <f>BDbDT_calcs!V58</f>
        <v>41974.734148871401</v>
      </c>
      <c r="W2" s="37">
        <f>BDbDT_calcs!W58</f>
        <v>42267.523156606665</v>
      </c>
      <c r="X2" s="37">
        <f>BDbDT_calcs!X58</f>
        <v>42523.17697051906</v>
      </c>
      <c r="Y2" s="37">
        <f>BDbDT_calcs!Y58</f>
        <v>42758.914695211875</v>
      </c>
      <c r="Z2" s="37">
        <f>BDbDT_calcs!Z58</f>
        <v>42958.833860799888</v>
      </c>
      <c r="AA2" s="37">
        <f>BDbDT_calcs!AA58</f>
        <v>43125.198605363876</v>
      </c>
      <c r="AB2" s="37">
        <f>BDbDT_calcs!AB58</f>
        <v>43261.55427246511</v>
      </c>
    </row>
    <row r="3" spans="1:28" x14ac:dyDescent="0.25">
      <c r="A3" s="4" t="s">
        <v>216</v>
      </c>
      <c r="B3" s="37">
        <f>BDbDT_calcs!B59</f>
        <v>30531.044038934306</v>
      </c>
      <c r="C3" s="37">
        <f>BDbDT_calcs!C59</f>
        <v>31137.433770995813</v>
      </c>
      <c r="D3" s="37">
        <f>BDbDT_calcs!D59</f>
        <v>31511.559300940771</v>
      </c>
      <c r="E3" s="37">
        <f>BDbDT_calcs!E59</f>
        <v>31901.128742018402</v>
      </c>
      <c r="F3" s="37">
        <f>BDbDT_calcs!F59</f>
        <v>32315.070056357745</v>
      </c>
      <c r="G3" s="37">
        <f>BDbDT_calcs!G59</f>
        <v>32754.966796672161</v>
      </c>
      <c r="H3" s="37">
        <f>BDbDT_calcs!H59</f>
        <v>33223.715810243062</v>
      </c>
      <c r="I3" s="37">
        <f>BDbDT_calcs!I59</f>
        <v>33835.733055543998</v>
      </c>
      <c r="J3" s="37">
        <f>BDbDT_calcs!J59</f>
        <v>34475.086123324596</v>
      </c>
      <c r="K3" s="37">
        <f>BDbDT_calcs!K59</f>
        <v>35133.130459253625</v>
      </c>
      <c r="L3" s="37">
        <f>BDbDT_calcs!L59</f>
        <v>35809.273244569289</v>
      </c>
      <c r="M3" s="37">
        <f>BDbDT_calcs!M59</f>
        <v>36501.461146712529</v>
      </c>
      <c r="N3" s="37">
        <f>BDbDT_calcs!N59</f>
        <v>37202.004956832519</v>
      </c>
      <c r="O3" s="37">
        <f>BDbDT_calcs!O59</f>
        <v>37903.522425611089</v>
      </c>
      <c r="P3" s="37">
        <f>BDbDT_calcs!P59</f>
        <v>38604.376881086959</v>
      </c>
      <c r="Q3" s="37">
        <f>BDbDT_calcs!Q59</f>
        <v>39293.91719531361</v>
      </c>
      <c r="R3" s="37">
        <f>BDbDT_calcs!R59</f>
        <v>39969.072706656625</v>
      </c>
      <c r="S3" s="37">
        <f>BDbDT_calcs!S59</f>
        <v>40581.456123180578</v>
      </c>
      <c r="T3" s="37">
        <f>BDbDT_calcs!T59</f>
        <v>41168.10064597844</v>
      </c>
      <c r="U3" s="37">
        <f>BDbDT_calcs!U59</f>
        <v>41725.013759897513</v>
      </c>
      <c r="V3" s="37">
        <f>BDbDT_calcs!V59</f>
        <v>42242.498842695793</v>
      </c>
      <c r="W3" s="37">
        <f>BDbDT_calcs!W59</f>
        <v>42711.704508506555</v>
      </c>
      <c r="X3" s="37">
        <f>BDbDT_calcs!X59</f>
        <v>43134.487275347892</v>
      </c>
      <c r="Y3" s="37">
        <f>BDbDT_calcs!Y59</f>
        <v>43530.571867969127</v>
      </c>
      <c r="Z3" s="37">
        <f>BDbDT_calcs!Z59</f>
        <v>43880.895283030062</v>
      </c>
      <c r="AA3" s="37">
        <f>BDbDT_calcs!AA59</f>
        <v>44178.220173319198</v>
      </c>
      <c r="AB3" s="37">
        <f>BDbDT_calcs!AB59</f>
        <v>44422.773527537152</v>
      </c>
    </row>
    <row r="4" spans="1:28" x14ac:dyDescent="0.25">
      <c r="A4" s="4" t="s">
        <v>217</v>
      </c>
      <c r="B4" s="37">
        <f>BDbDT_calcs!B60</f>
        <v>52548.939190782374</v>
      </c>
      <c r="C4" s="37">
        <f>BDbDT_calcs!C60</f>
        <v>53653.538652911055</v>
      </c>
      <c r="D4" s="37">
        <f>BDbDT_calcs!D60</f>
        <v>54351.578189674503</v>
      </c>
      <c r="E4" s="37">
        <f>BDbDT_calcs!E60</f>
        <v>55056.393448281255</v>
      </c>
      <c r="F4" s="37">
        <f>BDbDT_calcs!F60</f>
        <v>55779.264875507222</v>
      </c>
      <c r="G4" s="37">
        <f>BDbDT_calcs!G60</f>
        <v>56520.396052744909</v>
      </c>
      <c r="H4" s="37">
        <f>BDbDT_calcs!H60</f>
        <v>57281.838226494634</v>
      </c>
      <c r="I4" s="37">
        <f>BDbDT_calcs!I60</f>
        <v>58260.639915549575</v>
      </c>
      <c r="J4" s="37">
        <f>BDbDT_calcs!J60</f>
        <v>59254.562571297472</v>
      </c>
      <c r="K4" s="37">
        <f>BDbDT_calcs!K60</f>
        <v>60253.247184096253</v>
      </c>
      <c r="L4" s="37">
        <f>BDbDT_calcs!L60</f>
        <v>61253.576528680642</v>
      </c>
      <c r="M4" s="37">
        <f>BDbDT_calcs!M60</f>
        <v>62253.232529360459</v>
      </c>
      <c r="N4" s="37">
        <f>BDbDT_calcs!N60</f>
        <v>63240.947289674419</v>
      </c>
      <c r="O4" s="37">
        <f>BDbDT_calcs!O60</f>
        <v>64210.392355399301</v>
      </c>
      <c r="P4" s="37">
        <f>BDbDT_calcs!P60</f>
        <v>65153.188180329074</v>
      </c>
      <c r="Q4" s="37">
        <f>BDbDT_calcs!Q60</f>
        <v>66060.390736377551</v>
      </c>
      <c r="R4" s="37">
        <f>BDbDT_calcs!R60</f>
        <v>66923.290155915936</v>
      </c>
      <c r="S4" s="37">
        <f>BDbDT_calcs!S60</f>
        <v>67667.403621362639</v>
      </c>
      <c r="T4" s="37">
        <f>BDbDT_calcs!T60</f>
        <v>68355.883263364609</v>
      </c>
      <c r="U4" s="37">
        <f>BDbDT_calcs!U60</f>
        <v>68988.13715113877</v>
      </c>
      <c r="V4" s="37">
        <f>BDbDT_calcs!V60</f>
        <v>69545.2150662809</v>
      </c>
      <c r="W4" s="37">
        <f>BDbDT_calcs!W60</f>
        <v>70021.166585204832</v>
      </c>
      <c r="X4" s="37">
        <f>BDbDT_calcs!X60</f>
        <v>70416.705841913994</v>
      </c>
      <c r="Y4" s="37">
        <f>BDbDT_calcs!Y60</f>
        <v>70767.086922162023</v>
      </c>
      <c r="Z4" s="37">
        <f>BDbDT_calcs!Z60</f>
        <v>71040.023511948122</v>
      </c>
      <c r="AA4" s="37">
        <f>BDbDT_calcs!AA60</f>
        <v>71230.313789386695</v>
      </c>
      <c r="AB4" s="37">
        <f>BDbDT_calcs!AB60</f>
        <v>71343.202339066105</v>
      </c>
    </row>
    <row r="5" spans="1:28" x14ac:dyDescent="0.25">
      <c r="A5" s="4" t="s">
        <v>218</v>
      </c>
      <c r="B5" s="37">
        <f>BDbDT_calcs!B61</f>
        <v>9372.1132317670163</v>
      </c>
      <c r="C5" s="37">
        <f>BDbDT_calcs!C61</f>
        <v>9553.6265690285363</v>
      </c>
      <c r="D5" s="37">
        <f>BDbDT_calcs!D61</f>
        <v>9664.2826398864199</v>
      </c>
      <c r="E5" s="37">
        <f>BDbDT_calcs!E61</f>
        <v>9775.8240652219356</v>
      </c>
      <c r="F5" s="37">
        <f>BDbDT_calcs!F61</f>
        <v>9891.4585339921123</v>
      </c>
      <c r="G5" s="37">
        <f>BDbDT_calcs!G61</f>
        <v>10011.458368805128</v>
      </c>
      <c r="H5" s="37">
        <f>BDbDT_calcs!H61</f>
        <v>10135.589690470049</v>
      </c>
      <c r="I5" s="37">
        <f>BDbDT_calcs!I61</f>
        <v>10300.129988273038</v>
      </c>
      <c r="J5" s="37">
        <f>BDbDT_calcs!J61</f>
        <v>10469.513071379595</v>
      </c>
      <c r="K5" s="37">
        <f>BDbDT_calcs!K61</f>
        <v>10643.126654039614</v>
      </c>
      <c r="L5" s="37">
        <f>BDbDT_calcs!L61</f>
        <v>10821.038662633213</v>
      </c>
      <c r="M5" s="37">
        <f>BDbDT_calcs!M61</f>
        <v>11002.746993951321</v>
      </c>
      <c r="N5" s="37">
        <f>BDbDT_calcs!N61</f>
        <v>11188.826180077172</v>
      </c>
      <c r="O5" s="37">
        <f>BDbDT_calcs!O61</f>
        <v>11376.490845428978</v>
      </c>
      <c r="P5" s="37">
        <f>BDbDT_calcs!P61</f>
        <v>11567.024362133539</v>
      </c>
      <c r="Q5" s="37">
        <f>BDbDT_calcs!Q61</f>
        <v>11758.107399595958</v>
      </c>
      <c r="R5" s="37">
        <f>BDbDT_calcs!R61</f>
        <v>11949.471597567246</v>
      </c>
      <c r="S5" s="37">
        <f>BDbDT_calcs!S61</f>
        <v>12128.914346433832</v>
      </c>
      <c r="T5" s="37">
        <f>BDbDT_calcs!T61</f>
        <v>12306.065747072678</v>
      </c>
      <c r="U5" s="37">
        <f>BDbDT_calcs!U61</f>
        <v>12481.08677210645</v>
      </c>
      <c r="V5" s="37">
        <f>BDbDT_calcs!V61</f>
        <v>12652.487426268601</v>
      </c>
      <c r="W5" s="37">
        <f>BDbDT_calcs!W61</f>
        <v>12817.867024496609</v>
      </c>
      <c r="X5" s="37">
        <f>BDbDT_calcs!X61</f>
        <v>12976.290714559418</v>
      </c>
      <c r="Y5" s="37">
        <f>BDbDT_calcs!Y61</f>
        <v>13130.963127777492</v>
      </c>
      <c r="Z5" s="37">
        <f>BDbDT_calcs!Z61</f>
        <v>13278.196047109728</v>
      </c>
      <c r="AA5" s="37">
        <f>BDbDT_calcs!AA61</f>
        <v>13417.784303240802</v>
      </c>
      <c r="AB5" s="37">
        <f>BDbDT_calcs!AB61</f>
        <v>13548.238567054916</v>
      </c>
    </row>
    <row r="6" spans="1:28" x14ac:dyDescent="0.25">
      <c r="A6" s="4" t="s">
        <v>219</v>
      </c>
      <c r="B6" s="37">
        <f>BDbDT_calcs!B62</f>
        <v>927.58439854929395</v>
      </c>
      <c r="C6" s="37">
        <f>BDbDT_calcs!C62</f>
        <v>953.42875777332904</v>
      </c>
      <c r="D6" s="37">
        <f>BDbDT_calcs!D62</f>
        <v>972.90350938234576</v>
      </c>
      <c r="E6" s="37">
        <f>BDbDT_calcs!E62</f>
        <v>993.79677030984953</v>
      </c>
      <c r="F6" s="37">
        <f>BDbDT_calcs!F62</f>
        <v>1016.3944055935369</v>
      </c>
      <c r="G6" s="37">
        <f>BDbDT_calcs!G62</f>
        <v>1040.6737187065414</v>
      </c>
      <c r="H6" s="37">
        <f>BDbDT_calcs!H62</f>
        <v>1066.7028312423756</v>
      </c>
      <c r="I6" s="37">
        <f>BDbDT_calcs!I62</f>
        <v>1098.3127655509363</v>
      </c>
      <c r="J6" s="37">
        <f>BDbDT_calcs!J62</f>
        <v>1131.3117216394464</v>
      </c>
      <c r="K6" s="37">
        <f>BDbDT_calcs!K62</f>
        <v>1165.4856717455934</v>
      </c>
      <c r="L6" s="37">
        <f>BDbDT_calcs!L62</f>
        <v>1201.1442064391342</v>
      </c>
      <c r="M6" s="37">
        <f>BDbDT_calcs!M62</f>
        <v>1238.0685228700518</v>
      </c>
      <c r="N6" s="37">
        <f>BDbDT_calcs!N62</f>
        <v>1276.1145473663476</v>
      </c>
      <c r="O6" s="37">
        <f>BDbDT_calcs!O62</f>
        <v>1315.069862684232</v>
      </c>
      <c r="P6" s="37">
        <f>BDbDT_calcs!P62</f>
        <v>1354.826463521759</v>
      </c>
      <c r="Q6" s="37">
        <f>BDbDT_calcs!Q62</f>
        <v>1395.1356783154963</v>
      </c>
      <c r="R6" s="37">
        <f>BDbDT_calcs!R62</f>
        <v>1435.875348220502</v>
      </c>
      <c r="S6" s="37">
        <f>BDbDT_calcs!S62</f>
        <v>1475.3144497593244</v>
      </c>
      <c r="T6" s="37">
        <f>BDbDT_calcs!T62</f>
        <v>1514.8982858155673</v>
      </c>
      <c r="U6" s="37">
        <f>BDbDT_calcs!U62</f>
        <v>1554.2991162941782</v>
      </c>
      <c r="V6" s="37">
        <f>BDbDT_calcs!V62</f>
        <v>1593.5656316488139</v>
      </c>
      <c r="W6" s="37">
        <f>BDbDT_calcs!W62</f>
        <v>1632.587616937846</v>
      </c>
      <c r="X6" s="37">
        <f>BDbDT_calcs!X62</f>
        <v>1671.4987472396824</v>
      </c>
      <c r="Y6" s="37">
        <f>BDbDT_calcs!Y62</f>
        <v>1710.1841406380158</v>
      </c>
      <c r="Z6" s="37">
        <f>BDbDT_calcs!Z62</f>
        <v>1748.6899190587865</v>
      </c>
      <c r="AA6" s="37">
        <f>BDbDT_calcs!AA62</f>
        <v>1786.9900365909252</v>
      </c>
      <c r="AB6" s="37">
        <f>BDbDT_calcs!AB62</f>
        <v>1824.9472411133956</v>
      </c>
    </row>
    <row r="7" spans="1:28" x14ac:dyDescent="0.25">
      <c r="A7" s="4" t="s">
        <v>220</v>
      </c>
      <c r="B7" s="37">
        <f>BDbDT_calcs!B63</f>
        <v>951.76925140292144</v>
      </c>
      <c r="C7" s="37">
        <f>BDbDT_calcs!C63</f>
        <v>976.91771628819743</v>
      </c>
      <c r="D7" s="37">
        <f>BDbDT_calcs!D63</f>
        <v>995.68461329631657</v>
      </c>
      <c r="E7" s="37">
        <f>BDbDT_calcs!E63</f>
        <v>1016.2872446005249</v>
      </c>
      <c r="F7" s="37">
        <f>BDbDT_calcs!F63</f>
        <v>1037.0438126598706</v>
      </c>
      <c r="G7" s="37">
        <f>BDbDT_calcs!G63</f>
        <v>1059.4346032831788</v>
      </c>
      <c r="H7" s="37">
        <f>BDbDT_calcs!H63</f>
        <v>1082.4962522469521</v>
      </c>
      <c r="I7" s="37">
        <f>BDbDT_calcs!I63</f>
        <v>1109.8826864384696</v>
      </c>
      <c r="J7" s="37">
        <f>BDbDT_calcs!J63</f>
        <v>1137.947756294318</v>
      </c>
      <c r="K7" s="37">
        <f>BDbDT_calcs!K63</f>
        <v>1167.9259259469081</v>
      </c>
      <c r="L7" s="37">
        <f>BDbDT_calcs!L63</f>
        <v>1198.7089134742348</v>
      </c>
      <c r="M7" s="37">
        <f>BDbDT_calcs!M63</f>
        <v>1230.6697799013866</v>
      </c>
      <c r="N7" s="37">
        <f>BDbDT_calcs!N63</f>
        <v>1263.2756826407015</v>
      </c>
      <c r="O7" s="37">
        <f>BDbDT_calcs!O63</f>
        <v>1296.630678019374</v>
      </c>
      <c r="P7" s="37">
        <f>BDbDT_calcs!P63</f>
        <v>1331.0808094033848</v>
      </c>
      <c r="Q7" s="37">
        <f>BDbDT_calcs!Q63</f>
        <v>1366.4589225571513</v>
      </c>
      <c r="R7" s="37">
        <f>BDbDT_calcs!R63</f>
        <v>1402.5093676137888</v>
      </c>
      <c r="S7" s="37">
        <f>BDbDT_calcs!S63</f>
        <v>1437.3624792286437</v>
      </c>
      <c r="T7" s="37">
        <f>BDbDT_calcs!T63</f>
        <v>1472.8050962508089</v>
      </c>
      <c r="U7" s="37">
        <f>BDbDT_calcs!U63</f>
        <v>1508.4530454968399</v>
      </c>
      <c r="V7" s="37">
        <f>BDbDT_calcs!V63</f>
        <v>1543.8700812663603</v>
      </c>
      <c r="W7" s="37">
        <f>BDbDT_calcs!W63</f>
        <v>1579.9977475636401</v>
      </c>
      <c r="X7" s="37">
        <f>BDbDT_calcs!X63</f>
        <v>1616.0761283808558</v>
      </c>
      <c r="Y7" s="37">
        <f>BDbDT_calcs!Y63</f>
        <v>1652.5628145648002</v>
      </c>
      <c r="Z7" s="37">
        <f>BDbDT_calcs!Z63</f>
        <v>1688.8215691495227</v>
      </c>
      <c r="AA7" s="37">
        <f>BDbDT_calcs!AA63</f>
        <v>1725.0962220254453</v>
      </c>
      <c r="AB7" s="37">
        <f>BDbDT_calcs!AB63</f>
        <v>1761.6458684803526</v>
      </c>
    </row>
    <row r="8" spans="1:28" x14ac:dyDescent="0.25">
      <c r="A8" s="4" t="s">
        <v>221</v>
      </c>
      <c r="B8" s="37">
        <f>BDbDT_calcs!B64</f>
        <v>2208.2886608792842</v>
      </c>
      <c r="C8" s="37">
        <f>BDbDT_calcs!C64</f>
        <v>2295.8030812618908</v>
      </c>
      <c r="D8" s="37">
        <f>BDbDT_calcs!D64</f>
        <v>2367.9027149843146</v>
      </c>
      <c r="E8" s="37">
        <f>BDbDT_calcs!E64</f>
        <v>2441.6844916364107</v>
      </c>
      <c r="F8" s="37">
        <f>BDbDT_calcs!F64</f>
        <v>2517.178436786181</v>
      </c>
      <c r="G8" s="37">
        <f>BDbDT_calcs!G64</f>
        <v>2594.6946689788947</v>
      </c>
      <c r="H8" s="37">
        <f>BDbDT_calcs!H64</f>
        <v>2675.0819689090836</v>
      </c>
      <c r="I8" s="37">
        <f>BDbDT_calcs!I64</f>
        <v>2767.9966216647886</v>
      </c>
      <c r="J8" s="37">
        <f>BDbDT_calcs!J64</f>
        <v>2863.6787662004485</v>
      </c>
      <c r="K8" s="37">
        <f>BDbDT_calcs!K64</f>
        <v>2962.8149689962556</v>
      </c>
      <c r="L8" s="37">
        <f>BDbDT_calcs!L64</f>
        <v>3065.941782439862</v>
      </c>
      <c r="M8" s="37">
        <f>BDbDT_calcs!M64</f>
        <v>3172.3430007702914</v>
      </c>
      <c r="N8" s="37">
        <f>BDbDT_calcs!N64</f>
        <v>3282.875734829041</v>
      </c>
      <c r="O8" s="37">
        <f>BDbDT_calcs!O64</f>
        <v>3397.0295882721784</v>
      </c>
      <c r="P8" s="37">
        <f>BDbDT_calcs!P64</f>
        <v>3514.6875572016361</v>
      </c>
      <c r="Q8" s="37">
        <f>BDbDT_calcs!Q64</f>
        <v>3636.0373483323351</v>
      </c>
      <c r="R8" s="37">
        <f>BDbDT_calcs!R64</f>
        <v>3760.3771513362726</v>
      </c>
      <c r="S8" s="37">
        <f>BDbDT_calcs!S64</f>
        <v>3883.8013282338943</v>
      </c>
      <c r="T8" s="37">
        <f>BDbDT_calcs!T64</f>
        <v>4009.9577343349915</v>
      </c>
      <c r="U8" s="37">
        <f>BDbDT_calcs!U64</f>
        <v>4138.5978367743182</v>
      </c>
      <c r="V8" s="37">
        <f>BDbDT_calcs!V64</f>
        <v>4269.1860514443288</v>
      </c>
      <c r="W8" s="37">
        <f>BDbDT_calcs!W64</f>
        <v>4401.1438224081649</v>
      </c>
      <c r="X8" s="37">
        <f>BDbDT_calcs!X64</f>
        <v>4535.0113744061809</v>
      </c>
      <c r="Y8" s="37">
        <f>BDbDT_calcs!Y64</f>
        <v>4669.8835585893576</v>
      </c>
      <c r="Z8" s="37">
        <f>BDbDT_calcs!Z64</f>
        <v>4805.6972625667713</v>
      </c>
      <c r="AA8" s="37">
        <f>BDbDT_calcs!AA64</f>
        <v>4941.3688335651977</v>
      </c>
      <c r="AB8" s="37">
        <f>BDbDT_calcs!AB64</f>
        <v>5076.7501713736419</v>
      </c>
    </row>
    <row r="9" spans="1:28" x14ac:dyDescent="0.25">
      <c r="A9" s="4" t="s">
        <v>222</v>
      </c>
      <c r="B9" s="37">
        <f>BDbDT_calcs!B65</f>
        <v>65147.192556952112</v>
      </c>
      <c r="C9" s="37">
        <f>BDbDT_calcs!C65</f>
        <v>66416.679805853972</v>
      </c>
      <c r="D9" s="37">
        <f>BDbDT_calcs!D65</f>
        <v>67183.361093690255</v>
      </c>
      <c r="E9" s="37">
        <f>BDbDT_calcs!E65</f>
        <v>67961.407881316831</v>
      </c>
      <c r="F9" s="37">
        <f>BDbDT_calcs!F65</f>
        <v>68764.193753896601</v>
      </c>
      <c r="G9" s="37">
        <f>BDbDT_calcs!G65</f>
        <v>69593.827134041654</v>
      </c>
      <c r="H9" s="37">
        <f>BDbDT_calcs!H65</f>
        <v>70448.523417413802</v>
      </c>
      <c r="I9" s="37">
        <f>BDbDT_calcs!I65</f>
        <v>71571.101021728988</v>
      </c>
      <c r="J9" s="37">
        <f>BDbDT_calcs!J65</f>
        <v>72712.849104265813</v>
      </c>
      <c r="K9" s="37">
        <f>BDbDT_calcs!K65</f>
        <v>73861.33225777249</v>
      </c>
      <c r="L9" s="37">
        <f>BDbDT_calcs!L65</f>
        <v>75010.774389880593</v>
      </c>
      <c r="M9" s="37">
        <f>BDbDT_calcs!M65</f>
        <v>76160.087100911187</v>
      </c>
      <c r="N9" s="37">
        <f>BDbDT_calcs!N65</f>
        <v>77293.653282673084</v>
      </c>
      <c r="O9" s="37">
        <f>BDbDT_calcs!O65</f>
        <v>78402.787304338315</v>
      </c>
      <c r="P9" s="37">
        <f>BDbDT_calcs!P65</f>
        <v>79480.076965152621</v>
      </c>
      <c r="Q9" s="37">
        <f>BDbDT_calcs!Q65</f>
        <v>80511.870537895826</v>
      </c>
      <c r="R9" s="37">
        <f>BDbDT_calcs!R65</f>
        <v>81489.461049796242</v>
      </c>
      <c r="S9" s="37">
        <f>BDbDT_calcs!S65</f>
        <v>82321.451769020015</v>
      </c>
      <c r="T9" s="37">
        <f>BDbDT_calcs!T65</f>
        <v>83083.993279379327</v>
      </c>
      <c r="U9" s="37">
        <f>BDbDT_calcs!U65</f>
        <v>83775.555331916883</v>
      </c>
      <c r="V9" s="37">
        <f>BDbDT_calcs!V65</f>
        <v>84374.792404404259</v>
      </c>
      <c r="W9" s="37">
        <f>BDbDT_calcs!W65</f>
        <v>84875.771757865834</v>
      </c>
      <c r="X9" s="37">
        <f>BDbDT_calcs!X65</f>
        <v>85275.998442720069</v>
      </c>
      <c r="Y9" s="37">
        <f>BDbDT_calcs!Y65</f>
        <v>85620.207105273163</v>
      </c>
      <c r="Z9" s="37">
        <f>BDbDT_calcs!Z65</f>
        <v>85868.634093610468</v>
      </c>
      <c r="AA9" s="37">
        <f>BDbDT_calcs!AA65</f>
        <v>86018.729250135031</v>
      </c>
      <c r="AB9" s="37">
        <f>BDbDT_calcs!AB65</f>
        <v>86075.258127176698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2026-08-17T20:29:37Z</dcterms:modified>
</cp:coreProperties>
</file>