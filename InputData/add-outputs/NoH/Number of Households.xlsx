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TN\add-outputs\NoH\"/>
    </mc:Choice>
  </mc:AlternateContent>
  <xr:revisionPtr revIDLastSave="0" documentId="8_{1E07D0CE-ED76-49EF-AA69-7A90B8407F1B}"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D2" i="3"/>
  <c r="Z2" i="3"/>
  <c r="Q2" i="3"/>
  <c r="E2" i="3"/>
  <c r="AA2" i="3"/>
  <c r="F2" i="3"/>
  <c r="AB2" i="3"/>
  <c r="AD2" i="3"/>
  <c r="N2" i="3"/>
  <c r="R2" i="3"/>
  <c r="G2" i="3"/>
  <c r="AC2" i="3"/>
  <c r="T2" i="3"/>
  <c r="V2" i="3"/>
  <c r="X2" i="3"/>
  <c r="H2" i="3"/>
  <c r="I2" i="3"/>
  <c r="AE2" i="3"/>
  <c r="S2" i="3"/>
  <c r="J2" i="3"/>
  <c r="B2" i="3"/>
  <c r="K2" i="3"/>
  <c r="P2" i="3"/>
  <c r="U2" i="3"/>
  <c r="L2" i="3"/>
  <c r="M2" i="3"/>
  <c r="O2" i="3"/>
  <c r="W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<sst xmlns="http://schemas.openxmlformats.org/spreadsheetml/2006/main" count="1069" uniqueCount="448">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</sst>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410</v>
      </c>
      <c r="C1" s="68">
        <v>46185</v>
      </c>
      <c r="H1" t="s">
        <v>324</v>
      </c>
      <c r="I1" t="s">
        <v>325</v>
      </c>
    </row>
    <row r="2" spans="1:9" x14ac:dyDescent="0.25">
      <c r="B2" t="str">
        <f>VLOOKUP(B1,H2:I52,2)</f>
        <v>TN</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2690864.389503282</v>
      </c>
      <c r="C2">
        <f>SUMIFS('state calcs'!C62:C112,'state calcs'!$A$62:$A$112,About!$B$2)</f>
        <v>2735682.1021633162</v>
      </c>
      <c r="D2">
        <f>SUMIFS('state calcs'!D62:D112,'state calcs'!$A$62:$A$112,About!$B$2)</f>
        <v>2764365.7100190907</v>
      </c>
      <c r="E2">
        <f>SUMIFS('state calcs'!E62:E112,'state calcs'!$A$62:$A$112,About!$B$2)</f>
        <v>2793117.4313221825</v>
      </c>
      <c r="F2">
        <f>SUMIFS('state calcs'!F62:F112,'state calcs'!$A$62:$A$112,About!$B$2)</f>
        <v>2822474.8537229551</v>
      </c>
      <c r="G2">
        <f>SUMIFS('state calcs'!G62:G112,'state calcs'!$A$62:$A$112,About!$B$2)</f>
        <v>2851781.3347394983</v>
      </c>
      <c r="H2">
        <f>SUMIFS('state calcs'!H62:H112,'state calcs'!$A$62:$A$112,About!$B$2)</f>
        <v>2881240.3341649319</v>
      </c>
      <c r="I2">
        <f>SUMIFS('state calcs'!I62:I112,'state calcs'!$A$62:$A$112,About!$B$2)</f>
        <v>2910905.0306929536</v>
      </c>
      <c r="J2">
        <f>SUMIFS('state calcs'!J62:J112,'state calcs'!$A$62:$A$112,About!$B$2)</f>
        <v>2940387.2958497996</v>
      </c>
      <c r="K2">
        <f>SUMIFS('state calcs'!K62:K112,'state calcs'!$A$62:$A$112,About!$B$2)</f>
        <v>2969214.0152091761</v>
      </c>
      <c r="L2">
        <f>SUMIFS('state calcs'!L62:L112,'state calcs'!$A$62:$A$112,About!$B$2)</f>
        <v>2998274.8494586465</v>
      </c>
      <c r="M2">
        <f>SUMIFS('state calcs'!M62:M112,'state calcs'!$A$62:$A$112,About!$B$2)</f>
        <v>3027183.4658701029</v>
      </c>
      <c r="N2">
        <f>SUMIFS('state calcs'!N62:N112,'state calcs'!$A$62:$A$112,About!$B$2)</f>
        <v>3055576.9241035208</v>
      </c>
      <c r="O2">
        <f>SUMIFS('state calcs'!O62:O112,'state calcs'!$A$62:$A$112,About!$B$2)</f>
        <v>3083229.035412156</v>
      </c>
      <c r="P2">
        <f>SUMIFS('state calcs'!P62:P112,'state calcs'!$A$62:$A$112,About!$B$2)</f>
        <v>3110582.2870060448</v>
      </c>
      <c r="Q2">
        <f>SUMIFS('state calcs'!Q62:Q112,'state calcs'!$A$62:$A$112,About!$B$2)</f>
        <v>3137997.1316977157</v>
      </c>
      <c r="R2">
        <f>SUMIFS('state calcs'!R62:R112,'state calcs'!$A$62:$A$112,About!$B$2)</f>
        <v>3165286.8724908824</v>
      </c>
      <c r="S2">
        <f>SUMIFS('state calcs'!S62:S112,'state calcs'!$A$62:$A$112,About!$B$2)</f>
        <v>3192503.4300082517</v>
      </c>
      <c r="T2">
        <f>SUMIFS('state calcs'!T62:T112,'state calcs'!$A$62:$A$112,About!$B$2)</f>
        <v>3219573.2279823963</v>
      </c>
      <c r="U2">
        <f>SUMIFS('state calcs'!U62:U112,'state calcs'!$A$62:$A$112,About!$B$2)</f>
        <v>3246934.5570247127</v>
      </c>
      <c r="V2">
        <f>SUMIFS('state calcs'!V62:V112,'state calcs'!$A$62:$A$112,About!$B$2)</f>
        <v>3273850.7647002656</v>
      </c>
      <c r="W2">
        <f>SUMIFS('state calcs'!W62:W112,'state calcs'!$A$62:$A$112,About!$B$2)</f>
        <v>3300436.7314033494</v>
      </c>
      <c r="X2">
        <f>SUMIFS('state calcs'!X62:X112,'state calcs'!$A$62:$A$112,About!$B$2)</f>
        <v>3326869.4236896103</v>
      </c>
      <c r="Y2">
        <f>SUMIFS('state calcs'!Y62:Y112,'state calcs'!$A$62:$A$112,About!$B$2)</f>
        <v>3353165.3193436316</v>
      </c>
      <c r="Z2">
        <f>SUMIFS('state calcs'!Z62:Z112,'state calcs'!$A$62:$A$112,About!$B$2)</f>
        <v>3379347.8314450174</v>
      </c>
      <c r="AA2">
        <f>SUMIFS('state calcs'!AA62:AA112,'state calcs'!$A$62:$A$112,About!$B$2)</f>
        <v>3405331.4497300531</v>
      </c>
      <c r="AB2">
        <f>SUMIFS('state calcs'!AB62:AB112,'state calcs'!$A$62:$A$112,About!$B$2)</f>
        <v>3431259.266438948</v>
      </c>
      <c r="AC2">
        <f>SUMIFS('state calcs'!AC62:AC112,'state calcs'!$A$62:$A$112,About!$B$2)</f>
        <v>3456969.9417983596</v>
      </c>
      <c r="AD2">
        <f>SUMIFS('state calcs'!AD62:AD112,'state calcs'!$A$62:$A$112,About!$B$2)</f>
        <v>3482438.8680529348</v>
      </c>
      <c r="AE2">
        <f>SUMIFS('state calcs'!AE62:AE112,'state calcs'!$A$62:$A$112,About!$B$2)</f>
        <v>3507733.7843909003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2026-06-12T19:30:02Z</dcterms:modified>
</cp:coreProperties>
</file>