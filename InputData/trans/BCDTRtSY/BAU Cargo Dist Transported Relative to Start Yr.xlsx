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TN\trans\BCDTRtSY\"/>
    </mc:Choice>
  </mc:AlternateContent>
  <xr:revisionPtr revIDLastSave="0" documentId="8_{1E68D5FB-6252-49F6-8026-33C99956B3EB}"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<sst xmlns="http://schemas.openxmlformats.org/spreadsheetml/2006/main" count="6428" uniqueCount="3038">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</sst>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2927</v>
      </c>
      <c r="C1" s="77">
        <v>46248</v>
      </c>
      <c r="H1" t="s">
        <v>2981</v>
      </c>
      <c r="I1" t="s">
        <v>2982</v>
      </c>
    </row>
    <row r="2" spans="1:9">
      <c r="B2" t="str">
        <f>VLOOKUP(B1,H2:I52,2)</f>
        <v>TN</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Tennessee</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1.0038003763034136</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1.0090133793727898</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1.0111529356052447</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1.0128880923392765</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1.0138918933940853</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1.0188682289748257</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1.0240110547488979</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1.0277682306283058</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1.0321213002186971</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1.0356268309379575</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1.0398287253168819</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1.0444654673186606</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1.0491603029710261</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1.0532488129365465</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1.0575399234478813</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1.0608178544308788</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1.0639694534101687</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1.0667751318825232</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1.069809346170902</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1.0726161739917213</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1.075145313238419</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1.0768611376319654</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1.0786998863721391</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1.0802917478119292</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1.0822858285303136</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1.0155818606370755</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1.0253313079944701</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1.0316029081709894</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1.0366517349795392</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1.0402952442595936</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1.0469879118323939</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1.0532760395511225</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1.0600558641768132</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1.0663832524435615</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1.0730454003400349</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1.0789401076873377</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1.084974971669973</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1.0905177169935705</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1.0960461775784787</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1.1015286898540704</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1.1060828830623735</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1.1105951781482051</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1.1147749896583614</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1.1188371691092076</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1.1227884777788022</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1.1263494818770838</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1.1297958011868885</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1.1328541870376221</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1.1357308432619617</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1.1385321497330301</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1.0289686328583652</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1.045289344804879</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1.0508400595563563</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1.0611581651380804</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1.0755340827826789</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1.0938008832520609</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1.1164856384646242</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1.141151373928007</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1.1682735611253263</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1.1980659052056901</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1.221028030502791</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1.2441625197059674</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1.2671443015270079</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1.2892223341340685</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1.3118461894473448</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1.3329691198798619</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1.3552806685325116</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1.3790348256198508</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1.402800542823988</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1.4267963951226807</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1.4498457248468077</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1.4709632795312295</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1.4923480513465386</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1.5127163618918702</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1.5336691824500523</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1.061254573181917</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1.105951639134499</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1.1390223688466909</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1.1671961519604181</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1.1906900499682285</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1.2152566087438252</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1.2377496450881496</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1.2611929920050131</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1.2796951700023751</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1.2982351656032807</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1.3131202445818027</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1.3289284553094041</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1.3434845739252463</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1.3553622018940439</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1.3676348124887225</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1.3782082872913031</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1.3888398484111668</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1.3979195123984287</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1.4078535080349874</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1.4184864069666454</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1.4274773400438698</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1.4372358502228026</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1.4446411657032137</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1.4516338436687339</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1.4583229581943975</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0.9996301994362462</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0.99222013363379058</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0.97893106262244589</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0.96812422633873552</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0.95963376543772494</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0.95497006789919092</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0.9525765274523853</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0.95133761172494502</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0.95130621544317306</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0.95254762886303035</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0.9508039809353207</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0.94906949728168588</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0.94714198242969694</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0.94511460484680654</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0.94315177186351373</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0.94027091705920673</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0.93779308791140836</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0.9355901866562184</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0.93336464426340582</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0.93108320747347251</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0.92830068500894192</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0.92482959351427974</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0.92118647498141959</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0.91713012162531704</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0.91332387936449977</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1.0035652836161806</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1.009308792203166</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1.0121190918911824</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1.0147208984882627</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1.0163013884205885</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1.0225222155575091</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1.0288045091114866</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1.0335699960722637</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1.038695709518082</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1.0429172192810765</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1.0479479643168943</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1.0534374826807287</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1.0589053897606389</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1.0636483434500161</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1.0686282824297233</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1.0728857495317061</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1.0768767528753973</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1.0806340849042109</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1.0847403943815468</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1.0887159955776549</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1.0922176990116739</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1.0949631727803173</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1.0976533466446434</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1.1001794587963285</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1.1031199704554733</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0.9937856134144577</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0.9930437821209448</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0.99194535496919889</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0.99201923001534964</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0.996837032917405</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1.0047219895980644</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1.0144330428416293</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1.0228926486159875</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1.033333776368599</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1.0445425003214286</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1.056154472197208</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1.0691144446262599</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1.0834059701414813</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1.0981545742121295</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1.113516755585946</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1.1277838221425789</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1.1414956815885904</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1.1526140335292065</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1.1635091743080732</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1.1758873682386124</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1.1888247459385775</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1.2025551834082846</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1.2150094809238829</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1.2283585393634955</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1.2409717964318074</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1.0083959445924726</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1.0209836111341108</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1.0326671185948479</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1.0417348604028538</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1.053124956681492</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1.0648117271271498</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1.0774638819694504</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1.0879810286178579</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1.0998070258203108</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1.1115495991647331</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1.1225315336362609</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1.1328492781842547</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1.1421747340859791</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1.1509497992303925</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1.1599378049281199</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1.1685235561492202</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1.1765924923726372</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1.1836321482560233</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1.1910243688995896</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1.200406496958013</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1.2100484649601948</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1.2196300105403071</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1.2269997859112376</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1.2343121471386371</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1.2410459408478764</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1.0244285164724691</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1.0410266887001323</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1.051141542475085</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1.0648895228720552</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1.0815396900809457</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1.1026426080743694</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1.1269561218806756</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1.1528652614541086</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1.1806927882093159</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1.2105729560251048</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1.2360725024248025</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1.2618963836494907</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1.2878174378313352</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1.3133099193921003</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1.3393827503957318</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1.3645300547939629</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1.3906756539108283</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1.4180034515796389</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1.445532169858784</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1.4734111194121853</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1.5008278472316543</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1.527086945714788</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1.5537309380541502</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1.5798633421215325</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1.606628402767118</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0.97498510156820006</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1.0040645355290281</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0.98118213111432173</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0.97118057108410627</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0.97539244293273486</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0.95243591160299712</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0.95849286651399612</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0.96470916318686917</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0.96402022236490925</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0.96921736005005865</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0.97355958081972493</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0.97929116546782802</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0.98172847242419092</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0.98574425755548079</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0.98875512759288287</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0.98974231275211688</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0.9885596653408818</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0.9880103334146777</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0.98997723167537788</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0.99132908490804972</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0.99526408600315064</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1.0029957462112684</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1.008044797661799</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1.0070360792511173</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1.0067028774517395</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0.98982166107748404</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1.0065694085405683</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1.0252560868371732</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1.0405251845440227</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1.0566435828945375</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1.0760482687412218</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1.0975624373829136</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1.1194499156953965</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1.1421388173402616</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1.1659241951038937</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1.1857591003171306</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1.202286023017471</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1.2188549861491853</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1.2342747652018506</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1.2498224877578092</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1.2648381585593098</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1.2809908165408304</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1.2967632982986701</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1.3124322849942889</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1.3295449677899365</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1.3468743588960417</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1.3644578677719283</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1.3812981024950028</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1.3978702640049732</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1.4159955193968696</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1.0038003763034136</v>
      </c>
      <c r="E2">
        <f>'BCDTRtSY-state-adjusted'!E5</f>
        <v>1.0090133793727898</v>
      </c>
      <c r="F2">
        <f>'BCDTRtSY-state-adjusted'!F5</f>
        <v>1.0111529356052447</v>
      </c>
      <c r="G2">
        <f>'BCDTRtSY-state-adjusted'!G5</f>
        <v>1.0128880923392765</v>
      </c>
      <c r="H2">
        <f>'BCDTRtSY-state-adjusted'!H5</f>
        <v>1.0138918933940853</v>
      </c>
      <c r="I2">
        <f>'BCDTRtSY-state-adjusted'!I5</f>
        <v>1.0188682289748257</v>
      </c>
      <c r="J2">
        <f>'BCDTRtSY-state-adjusted'!J5</f>
        <v>1.0240110547488979</v>
      </c>
      <c r="K2">
        <f>'BCDTRtSY-state-adjusted'!K5</f>
        <v>1.0277682306283058</v>
      </c>
      <c r="L2">
        <f>'BCDTRtSY-state-adjusted'!L5</f>
        <v>1.0321213002186971</v>
      </c>
      <c r="M2">
        <f>'BCDTRtSY-state-adjusted'!M5</f>
        <v>1.0356268309379575</v>
      </c>
      <c r="N2">
        <f>'BCDTRtSY-state-adjusted'!N5</f>
        <v>1.0398287253168819</v>
      </c>
      <c r="O2">
        <f>'BCDTRtSY-state-adjusted'!O5</f>
        <v>1.0444654673186606</v>
      </c>
      <c r="P2">
        <f>'BCDTRtSY-state-adjusted'!P5</f>
        <v>1.0491603029710261</v>
      </c>
      <c r="Q2">
        <f>'BCDTRtSY-state-adjusted'!Q5</f>
        <v>1.0532488129365465</v>
      </c>
      <c r="R2">
        <f>'BCDTRtSY-state-adjusted'!R5</f>
        <v>1.0575399234478813</v>
      </c>
      <c r="S2">
        <f>'BCDTRtSY-state-adjusted'!S5</f>
        <v>1.0608178544308788</v>
      </c>
      <c r="T2">
        <f>'BCDTRtSY-state-adjusted'!T5</f>
        <v>1.0639694534101687</v>
      </c>
      <c r="U2">
        <f>'BCDTRtSY-state-adjusted'!U5</f>
        <v>1.0667751318825232</v>
      </c>
      <c r="V2">
        <f>'BCDTRtSY-state-adjusted'!V5</f>
        <v>1.069809346170902</v>
      </c>
      <c r="W2">
        <f>'BCDTRtSY-state-adjusted'!W5</f>
        <v>1.0726161739917213</v>
      </c>
      <c r="X2">
        <f>'BCDTRtSY-state-adjusted'!X5</f>
        <v>1.075145313238419</v>
      </c>
      <c r="Y2">
        <f>'BCDTRtSY-state-adjusted'!Y5</f>
        <v>1.0768611376319654</v>
      </c>
      <c r="Z2">
        <f>'BCDTRtSY-state-adjusted'!Z5</f>
        <v>1.0786998863721391</v>
      </c>
      <c r="AA2">
        <f>'BCDTRtSY-state-adjusted'!AA5</f>
        <v>1.0802917478119292</v>
      </c>
      <c r="AB2">
        <f>'BCDTRtSY-state-adjusted'!AB5</f>
        <v>1.0822858285303136</v>
      </c>
    </row>
    <row r="3" spans="1:28">
      <c r="A3" t="s">
        <v>118</v>
      </c>
      <c r="B3">
        <f>'BCDTRtSY-state-adjusted'!B6</f>
        <v>1</v>
      </c>
      <c r="C3">
        <f>'BCDTRtSY-state-adjusted'!C6</f>
        <v>1</v>
      </c>
      <c r="D3">
        <f>'BCDTRtSY-state-adjusted'!D6</f>
        <v>1.0155818606370755</v>
      </c>
      <c r="E3">
        <f>'BCDTRtSY-state-adjusted'!E6</f>
        <v>1.0253313079944701</v>
      </c>
      <c r="F3">
        <f>'BCDTRtSY-state-adjusted'!F6</f>
        <v>1.0316029081709894</v>
      </c>
      <c r="G3">
        <f>'BCDTRtSY-state-adjusted'!G6</f>
        <v>1.0366517349795392</v>
      </c>
      <c r="H3">
        <f>'BCDTRtSY-state-adjusted'!H6</f>
        <v>1.0402952442595936</v>
      </c>
      <c r="I3">
        <f>'BCDTRtSY-state-adjusted'!I6</f>
        <v>1.0469879118323939</v>
      </c>
      <c r="J3">
        <f>'BCDTRtSY-state-adjusted'!J6</f>
        <v>1.0532760395511225</v>
      </c>
      <c r="K3">
        <f>'BCDTRtSY-state-adjusted'!K6</f>
        <v>1.0600558641768132</v>
      </c>
      <c r="L3">
        <f>'BCDTRtSY-state-adjusted'!L6</f>
        <v>1.0663832524435615</v>
      </c>
      <c r="M3">
        <f>'BCDTRtSY-state-adjusted'!M6</f>
        <v>1.0730454003400349</v>
      </c>
      <c r="N3">
        <f>'BCDTRtSY-state-adjusted'!N6</f>
        <v>1.0789401076873377</v>
      </c>
      <c r="O3">
        <f>'BCDTRtSY-state-adjusted'!O6</f>
        <v>1.084974971669973</v>
      </c>
      <c r="P3">
        <f>'BCDTRtSY-state-adjusted'!P6</f>
        <v>1.0905177169935705</v>
      </c>
      <c r="Q3">
        <f>'BCDTRtSY-state-adjusted'!Q6</f>
        <v>1.0960461775784787</v>
      </c>
      <c r="R3">
        <f>'BCDTRtSY-state-adjusted'!R6</f>
        <v>1.1015286898540704</v>
      </c>
      <c r="S3">
        <f>'BCDTRtSY-state-adjusted'!S6</f>
        <v>1.1060828830623735</v>
      </c>
      <c r="T3">
        <f>'BCDTRtSY-state-adjusted'!T6</f>
        <v>1.1105951781482051</v>
      </c>
      <c r="U3">
        <f>'BCDTRtSY-state-adjusted'!U6</f>
        <v>1.1147749896583614</v>
      </c>
      <c r="V3">
        <f>'BCDTRtSY-state-adjusted'!V6</f>
        <v>1.1188371691092076</v>
      </c>
      <c r="W3">
        <f>'BCDTRtSY-state-adjusted'!W6</f>
        <v>1.1227884777788022</v>
      </c>
      <c r="X3">
        <f>'BCDTRtSY-state-adjusted'!X6</f>
        <v>1.1263494818770838</v>
      </c>
      <c r="Y3">
        <f>'BCDTRtSY-state-adjusted'!Y6</f>
        <v>1.1297958011868885</v>
      </c>
      <c r="Z3">
        <f>'BCDTRtSY-state-adjusted'!Z6</f>
        <v>1.1328541870376221</v>
      </c>
      <c r="AA3">
        <f>'BCDTRtSY-state-adjusted'!AA6</f>
        <v>1.1357308432619617</v>
      </c>
      <c r="AB3">
        <f>'BCDTRtSY-state-adjusted'!AB6</f>
        <v>1.1385321497330301</v>
      </c>
    </row>
    <row r="4" spans="1:28">
      <c r="A4" t="s">
        <v>116</v>
      </c>
      <c r="B4">
        <f>'BCDTRtSY-state-adjusted'!B7</f>
        <v>1</v>
      </c>
      <c r="C4">
        <f>'BCDTRtSY-state-adjusted'!C7</f>
        <v>1</v>
      </c>
      <c r="D4">
        <f>'BCDTRtSY-state-adjusted'!D7</f>
        <v>1.0289686328583652</v>
      </c>
      <c r="E4">
        <f>'BCDTRtSY-state-adjusted'!E7</f>
        <v>1.045289344804879</v>
      </c>
      <c r="F4">
        <f>'BCDTRtSY-state-adjusted'!F7</f>
        <v>1.0508400595563563</v>
      </c>
      <c r="G4">
        <f>'BCDTRtSY-state-adjusted'!G7</f>
        <v>1.0611581651380804</v>
      </c>
      <c r="H4">
        <f>'BCDTRtSY-state-adjusted'!H7</f>
        <v>1.0755340827826789</v>
      </c>
      <c r="I4">
        <f>'BCDTRtSY-state-adjusted'!I7</f>
        <v>1.0938008832520609</v>
      </c>
      <c r="J4">
        <f>'BCDTRtSY-state-adjusted'!J7</f>
        <v>1.1164856384646242</v>
      </c>
      <c r="K4">
        <f>'BCDTRtSY-state-adjusted'!K7</f>
        <v>1.141151373928007</v>
      </c>
      <c r="L4">
        <f>'BCDTRtSY-state-adjusted'!L7</f>
        <v>1.1682735611253263</v>
      </c>
      <c r="M4">
        <f>'BCDTRtSY-state-adjusted'!M7</f>
        <v>1.1980659052056901</v>
      </c>
      <c r="N4">
        <f>'BCDTRtSY-state-adjusted'!N7</f>
        <v>1.221028030502791</v>
      </c>
      <c r="O4">
        <f>'BCDTRtSY-state-adjusted'!O7</f>
        <v>1.2441625197059674</v>
      </c>
      <c r="P4">
        <f>'BCDTRtSY-state-adjusted'!P7</f>
        <v>1.2671443015270079</v>
      </c>
      <c r="Q4">
        <f>'BCDTRtSY-state-adjusted'!Q7</f>
        <v>1.2892223341340685</v>
      </c>
      <c r="R4">
        <f>'BCDTRtSY-state-adjusted'!R7</f>
        <v>1.3118461894473448</v>
      </c>
      <c r="S4">
        <f>'BCDTRtSY-state-adjusted'!S7</f>
        <v>1.3329691198798619</v>
      </c>
      <c r="T4">
        <f>'BCDTRtSY-state-adjusted'!T7</f>
        <v>1.3552806685325116</v>
      </c>
      <c r="U4">
        <f>'BCDTRtSY-state-adjusted'!U7</f>
        <v>1.3790348256198508</v>
      </c>
      <c r="V4">
        <f>'BCDTRtSY-state-adjusted'!V7</f>
        <v>1.402800542823988</v>
      </c>
      <c r="W4">
        <f>'BCDTRtSY-state-adjusted'!W7</f>
        <v>1.4267963951226807</v>
      </c>
      <c r="X4">
        <f>'BCDTRtSY-state-adjusted'!X7</f>
        <v>1.4498457248468077</v>
      </c>
      <c r="Y4">
        <f>'BCDTRtSY-state-adjusted'!Y7</f>
        <v>1.4709632795312295</v>
      </c>
      <c r="Z4">
        <f>'BCDTRtSY-state-adjusted'!Z7</f>
        <v>1.4923480513465386</v>
      </c>
      <c r="AA4">
        <f>'BCDTRtSY-state-adjusted'!AA7</f>
        <v>1.5127163618918702</v>
      </c>
      <c r="AB4">
        <f>'BCDTRtSY-state-adjusted'!AB7</f>
        <v>1.5336691824500523</v>
      </c>
    </row>
    <row r="5" spans="1:28">
      <c r="A5" t="s">
        <v>121</v>
      </c>
      <c r="B5">
        <f>'BCDTRtSY-state-adjusted'!B8</f>
        <v>1</v>
      </c>
      <c r="C5">
        <f>'BCDTRtSY-state-adjusted'!C8</f>
        <v>1</v>
      </c>
      <c r="D5">
        <f>'BCDTRtSY-state-adjusted'!D8</f>
        <v>1.061254573181917</v>
      </c>
      <c r="E5">
        <f>'BCDTRtSY-state-adjusted'!E8</f>
        <v>1.105951639134499</v>
      </c>
      <c r="F5">
        <f>'BCDTRtSY-state-adjusted'!F8</f>
        <v>1.1390223688466909</v>
      </c>
      <c r="G5">
        <f>'BCDTRtSY-state-adjusted'!G8</f>
        <v>1.1671961519604181</v>
      </c>
      <c r="H5">
        <f>'BCDTRtSY-state-adjusted'!H8</f>
        <v>1.1906900499682285</v>
      </c>
      <c r="I5">
        <f>'BCDTRtSY-state-adjusted'!I8</f>
        <v>1.2152566087438252</v>
      </c>
      <c r="J5">
        <f>'BCDTRtSY-state-adjusted'!J8</f>
        <v>1.2377496450881496</v>
      </c>
      <c r="K5">
        <f>'BCDTRtSY-state-adjusted'!K8</f>
        <v>1.2611929920050131</v>
      </c>
      <c r="L5">
        <f>'BCDTRtSY-state-adjusted'!L8</f>
        <v>1.2796951700023751</v>
      </c>
      <c r="M5">
        <f>'BCDTRtSY-state-adjusted'!M8</f>
        <v>1.2982351656032807</v>
      </c>
      <c r="N5">
        <f>'BCDTRtSY-state-adjusted'!N8</f>
        <v>1.3131202445818027</v>
      </c>
      <c r="O5">
        <f>'BCDTRtSY-state-adjusted'!O8</f>
        <v>1.3289284553094041</v>
      </c>
      <c r="P5">
        <f>'BCDTRtSY-state-adjusted'!P8</f>
        <v>1.3434845739252463</v>
      </c>
      <c r="Q5">
        <f>'BCDTRtSY-state-adjusted'!Q8</f>
        <v>1.3553622018940439</v>
      </c>
      <c r="R5">
        <f>'BCDTRtSY-state-adjusted'!R8</f>
        <v>1.3676348124887225</v>
      </c>
      <c r="S5">
        <f>'BCDTRtSY-state-adjusted'!S8</f>
        <v>1.3782082872913031</v>
      </c>
      <c r="T5">
        <f>'BCDTRtSY-state-adjusted'!T8</f>
        <v>1.3888398484111668</v>
      </c>
      <c r="U5">
        <f>'BCDTRtSY-state-adjusted'!U8</f>
        <v>1.3979195123984287</v>
      </c>
      <c r="V5">
        <f>'BCDTRtSY-state-adjusted'!V8</f>
        <v>1.4078535080349874</v>
      </c>
      <c r="W5">
        <f>'BCDTRtSY-state-adjusted'!W8</f>
        <v>1.4184864069666454</v>
      </c>
      <c r="X5">
        <f>'BCDTRtSY-state-adjusted'!X8</f>
        <v>1.4274773400438698</v>
      </c>
      <c r="Y5">
        <f>'BCDTRtSY-state-adjusted'!Y8</f>
        <v>1.4372358502228026</v>
      </c>
      <c r="Z5">
        <f>'BCDTRtSY-state-adjusted'!Z8</f>
        <v>1.4446411657032137</v>
      </c>
      <c r="AA5">
        <f>'BCDTRtSY-state-adjusted'!AA8</f>
        <v>1.4516338436687339</v>
      </c>
      <c r="AB5">
        <f>'BCDTRtSY-state-adjusted'!AB8</f>
        <v>1.4583229581943975</v>
      </c>
    </row>
    <row r="6" spans="1:28">
      <c r="A6" t="s">
        <v>122</v>
      </c>
      <c r="B6">
        <f>'BCDTRtSY-state-adjusted'!B9</f>
        <v>1</v>
      </c>
      <c r="C6">
        <f>'BCDTRtSY-state-adjusted'!C9</f>
        <v>1</v>
      </c>
      <c r="D6">
        <f>'BCDTRtSY-state-adjusted'!D9</f>
        <v>0.9996301994362462</v>
      </c>
      <c r="E6">
        <f>'BCDTRtSY-state-adjusted'!E9</f>
        <v>0.99222013363379058</v>
      </c>
      <c r="F6">
        <f>'BCDTRtSY-state-adjusted'!F9</f>
        <v>0.97893106262244589</v>
      </c>
      <c r="G6">
        <f>'BCDTRtSY-state-adjusted'!G9</f>
        <v>0.96812422633873552</v>
      </c>
      <c r="H6">
        <f>'BCDTRtSY-state-adjusted'!H9</f>
        <v>0.95963376543772494</v>
      </c>
      <c r="I6">
        <f>'BCDTRtSY-state-adjusted'!I9</f>
        <v>0.95497006789919092</v>
      </c>
      <c r="J6">
        <f>'BCDTRtSY-state-adjusted'!J9</f>
        <v>0.9525765274523853</v>
      </c>
      <c r="K6">
        <f>'BCDTRtSY-state-adjusted'!K9</f>
        <v>0.95133761172494502</v>
      </c>
      <c r="L6">
        <f>'BCDTRtSY-state-adjusted'!L9</f>
        <v>0.95130621544317306</v>
      </c>
      <c r="M6">
        <f>'BCDTRtSY-state-adjusted'!M9</f>
        <v>0.95254762886303035</v>
      </c>
      <c r="N6">
        <f>'BCDTRtSY-state-adjusted'!N9</f>
        <v>0.9508039809353207</v>
      </c>
      <c r="O6">
        <f>'BCDTRtSY-state-adjusted'!O9</f>
        <v>0.94906949728168588</v>
      </c>
      <c r="P6">
        <f>'BCDTRtSY-state-adjusted'!P9</f>
        <v>0.94714198242969694</v>
      </c>
      <c r="Q6">
        <f>'BCDTRtSY-state-adjusted'!Q9</f>
        <v>0.94511460484680654</v>
      </c>
      <c r="R6">
        <f>'BCDTRtSY-state-adjusted'!R9</f>
        <v>0.94315177186351373</v>
      </c>
      <c r="S6">
        <f>'BCDTRtSY-state-adjusted'!S9</f>
        <v>0.94027091705920673</v>
      </c>
      <c r="T6">
        <f>'BCDTRtSY-state-adjusted'!T9</f>
        <v>0.93779308791140836</v>
      </c>
      <c r="U6">
        <f>'BCDTRtSY-state-adjusted'!U9</f>
        <v>0.9355901866562184</v>
      </c>
      <c r="V6">
        <f>'BCDTRtSY-state-adjusted'!V9</f>
        <v>0.93336464426340582</v>
      </c>
      <c r="W6">
        <f>'BCDTRtSY-state-adjusted'!W9</f>
        <v>0.93108320747347251</v>
      </c>
      <c r="X6">
        <f>'BCDTRtSY-state-adjusted'!X9</f>
        <v>0.92830068500894192</v>
      </c>
      <c r="Y6">
        <f>'BCDTRtSY-state-adjusted'!Y9</f>
        <v>0.92482959351427974</v>
      </c>
      <c r="Z6">
        <f>'BCDTRtSY-state-adjusted'!Z9</f>
        <v>0.92118647498141959</v>
      </c>
      <c r="AA6">
        <f>'BCDTRtSY-state-adjusted'!AA9</f>
        <v>0.91713012162531704</v>
      </c>
      <c r="AB6">
        <f>'BCDTRtSY-state-adjusted'!AB9</f>
        <v>0.91332387936449977</v>
      </c>
    </row>
    <row r="7" spans="1:28">
      <c r="A7" t="s">
        <v>123</v>
      </c>
      <c r="B7">
        <f>'BCDTRtSY-state-adjusted'!B10</f>
        <v>1</v>
      </c>
      <c r="C7">
        <f>'BCDTRtSY-state-adjusted'!C10</f>
        <v>1</v>
      </c>
      <c r="D7">
        <f>'BCDTRtSY-state-adjusted'!D10</f>
        <v>1.0035652836161806</v>
      </c>
      <c r="E7">
        <f>'BCDTRtSY-state-adjusted'!E10</f>
        <v>1.009308792203166</v>
      </c>
      <c r="F7">
        <f>'BCDTRtSY-state-adjusted'!F10</f>
        <v>1.0121190918911824</v>
      </c>
      <c r="G7">
        <f>'BCDTRtSY-state-adjusted'!G10</f>
        <v>1.0147208984882627</v>
      </c>
      <c r="H7">
        <f>'BCDTRtSY-state-adjusted'!H10</f>
        <v>1.0163013884205885</v>
      </c>
      <c r="I7">
        <f>'BCDTRtSY-state-adjusted'!I10</f>
        <v>1.0225222155575091</v>
      </c>
      <c r="J7">
        <f>'BCDTRtSY-state-adjusted'!J10</f>
        <v>1.0288045091114866</v>
      </c>
      <c r="K7">
        <f>'BCDTRtSY-state-adjusted'!K10</f>
        <v>1.0335699960722637</v>
      </c>
      <c r="L7">
        <f>'BCDTRtSY-state-adjusted'!L10</f>
        <v>1.038695709518082</v>
      </c>
      <c r="M7">
        <f>'BCDTRtSY-state-adjusted'!M10</f>
        <v>1.0429172192810765</v>
      </c>
      <c r="N7">
        <f>'BCDTRtSY-state-adjusted'!N10</f>
        <v>1.0479479643168943</v>
      </c>
      <c r="O7">
        <f>'BCDTRtSY-state-adjusted'!O10</f>
        <v>1.0534374826807287</v>
      </c>
      <c r="P7">
        <f>'BCDTRtSY-state-adjusted'!P10</f>
        <v>1.0589053897606389</v>
      </c>
      <c r="Q7">
        <f>'BCDTRtSY-state-adjusted'!Q10</f>
        <v>1.0636483434500161</v>
      </c>
      <c r="R7">
        <f>'BCDTRtSY-state-adjusted'!R10</f>
        <v>1.0686282824297233</v>
      </c>
      <c r="S7">
        <f>'BCDTRtSY-state-adjusted'!S10</f>
        <v>1.0728857495317061</v>
      </c>
      <c r="T7">
        <f>'BCDTRtSY-state-adjusted'!T10</f>
        <v>1.0768767528753973</v>
      </c>
      <c r="U7">
        <f>'BCDTRtSY-state-adjusted'!U10</f>
        <v>1.0806340849042109</v>
      </c>
      <c r="V7">
        <f>'BCDTRtSY-state-adjusted'!V10</f>
        <v>1.0847403943815468</v>
      </c>
      <c r="W7">
        <f>'BCDTRtSY-state-adjusted'!W10</f>
        <v>1.0887159955776549</v>
      </c>
      <c r="X7">
        <f>'BCDTRtSY-state-adjusted'!X10</f>
        <v>1.0922176990116739</v>
      </c>
      <c r="Y7">
        <f>'BCDTRtSY-state-adjusted'!Y10</f>
        <v>1.0949631727803173</v>
      </c>
      <c r="Z7">
        <f>'BCDTRtSY-state-adjusted'!Z10</f>
        <v>1.0976533466446434</v>
      </c>
      <c r="AA7">
        <f>'BCDTRtSY-state-adjusted'!AA10</f>
        <v>1.1001794587963285</v>
      </c>
      <c r="AB7">
        <f>'BCDTRtSY-state-adjusted'!AB10</f>
        <v>1.1031199704554733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0.9937856134144577</v>
      </c>
      <c r="E2">
        <f>'BCDTRtSY-state-adjusted'!E13</f>
        <v>0.9930437821209448</v>
      </c>
      <c r="F2">
        <f>'BCDTRtSY-state-adjusted'!F13</f>
        <v>0.99194535496919889</v>
      </c>
      <c r="G2">
        <f>'BCDTRtSY-state-adjusted'!G13</f>
        <v>0.99201923001534964</v>
      </c>
      <c r="H2">
        <f>'BCDTRtSY-state-adjusted'!H13</f>
        <v>0.996837032917405</v>
      </c>
      <c r="I2">
        <f>'BCDTRtSY-state-adjusted'!I13</f>
        <v>1.0047219895980644</v>
      </c>
      <c r="J2">
        <f>'BCDTRtSY-state-adjusted'!J13</f>
        <v>1.0144330428416293</v>
      </c>
      <c r="K2">
        <f>'BCDTRtSY-state-adjusted'!K13</f>
        <v>1.0228926486159875</v>
      </c>
      <c r="L2">
        <f>'BCDTRtSY-state-adjusted'!L13</f>
        <v>1.033333776368599</v>
      </c>
      <c r="M2">
        <f>'BCDTRtSY-state-adjusted'!M13</f>
        <v>1.0445425003214286</v>
      </c>
      <c r="N2">
        <f>'BCDTRtSY-state-adjusted'!N13</f>
        <v>1.056154472197208</v>
      </c>
      <c r="O2">
        <f>'BCDTRtSY-state-adjusted'!O13</f>
        <v>1.0691144446262599</v>
      </c>
      <c r="P2">
        <f>'BCDTRtSY-state-adjusted'!P13</f>
        <v>1.0834059701414813</v>
      </c>
      <c r="Q2">
        <f>'BCDTRtSY-state-adjusted'!Q13</f>
        <v>1.0981545742121295</v>
      </c>
      <c r="R2">
        <f>'BCDTRtSY-state-adjusted'!R13</f>
        <v>1.113516755585946</v>
      </c>
      <c r="S2">
        <f>'BCDTRtSY-state-adjusted'!S13</f>
        <v>1.1277838221425789</v>
      </c>
      <c r="T2">
        <f>'BCDTRtSY-state-adjusted'!T13</f>
        <v>1.1414956815885904</v>
      </c>
      <c r="U2">
        <f>'BCDTRtSY-state-adjusted'!U13</f>
        <v>1.1526140335292065</v>
      </c>
      <c r="V2">
        <f>'BCDTRtSY-state-adjusted'!V13</f>
        <v>1.1635091743080732</v>
      </c>
      <c r="W2">
        <f>'BCDTRtSY-state-adjusted'!W13</f>
        <v>1.1758873682386124</v>
      </c>
      <c r="X2">
        <f>'BCDTRtSY-state-adjusted'!X13</f>
        <v>1.1888247459385775</v>
      </c>
      <c r="Y2">
        <f>'BCDTRtSY-state-adjusted'!Y13</f>
        <v>1.2025551834082846</v>
      </c>
      <c r="Z2">
        <f>'BCDTRtSY-state-adjusted'!Z13</f>
        <v>1.2150094809238829</v>
      </c>
      <c r="AA2">
        <f>'BCDTRtSY-state-adjusted'!AA13</f>
        <v>1.2283585393634955</v>
      </c>
      <c r="AB2">
        <f>'BCDTRtSY-state-adjusted'!AB13</f>
        <v>1.2409717964318074</v>
      </c>
    </row>
    <row r="3" spans="1:28">
      <c r="A3" t="s">
        <v>118</v>
      </c>
      <c r="B3">
        <f>'BCDTRtSY-state-adjusted'!B14</f>
        <v>1</v>
      </c>
      <c r="C3">
        <f>'BCDTRtSY-state-adjusted'!C14</f>
        <v>1</v>
      </c>
      <c r="D3">
        <f>'BCDTRtSY-state-adjusted'!D14</f>
        <v>1.0083959445924726</v>
      </c>
      <c r="E3">
        <f>'BCDTRtSY-state-adjusted'!E14</f>
        <v>1.0209836111341108</v>
      </c>
      <c r="F3">
        <f>'BCDTRtSY-state-adjusted'!F14</f>
        <v>1.0326671185948479</v>
      </c>
      <c r="G3">
        <f>'BCDTRtSY-state-adjusted'!G14</f>
        <v>1.0417348604028538</v>
      </c>
      <c r="H3">
        <f>'BCDTRtSY-state-adjusted'!H14</f>
        <v>1.053124956681492</v>
      </c>
      <c r="I3">
        <f>'BCDTRtSY-state-adjusted'!I14</f>
        <v>1.0648117271271498</v>
      </c>
      <c r="J3">
        <f>'BCDTRtSY-state-adjusted'!J14</f>
        <v>1.0774638819694504</v>
      </c>
      <c r="K3">
        <f>'BCDTRtSY-state-adjusted'!K14</f>
        <v>1.0879810286178579</v>
      </c>
      <c r="L3">
        <f>'BCDTRtSY-state-adjusted'!L14</f>
        <v>1.0998070258203108</v>
      </c>
      <c r="M3">
        <f>'BCDTRtSY-state-adjusted'!M14</f>
        <v>1.1115495991647331</v>
      </c>
      <c r="N3">
        <f>'BCDTRtSY-state-adjusted'!N14</f>
        <v>1.1225315336362609</v>
      </c>
      <c r="O3">
        <f>'BCDTRtSY-state-adjusted'!O14</f>
        <v>1.1328492781842547</v>
      </c>
      <c r="P3">
        <f>'BCDTRtSY-state-adjusted'!P14</f>
        <v>1.1421747340859791</v>
      </c>
      <c r="Q3">
        <f>'BCDTRtSY-state-adjusted'!Q14</f>
        <v>1.1509497992303925</v>
      </c>
      <c r="R3">
        <f>'BCDTRtSY-state-adjusted'!R14</f>
        <v>1.1599378049281199</v>
      </c>
      <c r="S3">
        <f>'BCDTRtSY-state-adjusted'!S14</f>
        <v>1.1685235561492202</v>
      </c>
      <c r="T3">
        <f>'BCDTRtSY-state-adjusted'!T14</f>
        <v>1.1765924923726372</v>
      </c>
      <c r="U3">
        <f>'BCDTRtSY-state-adjusted'!U14</f>
        <v>1.1836321482560233</v>
      </c>
      <c r="V3">
        <f>'BCDTRtSY-state-adjusted'!V14</f>
        <v>1.1910243688995896</v>
      </c>
      <c r="W3">
        <f>'BCDTRtSY-state-adjusted'!W14</f>
        <v>1.200406496958013</v>
      </c>
      <c r="X3">
        <f>'BCDTRtSY-state-adjusted'!X14</f>
        <v>1.2100484649601948</v>
      </c>
      <c r="Y3">
        <f>'BCDTRtSY-state-adjusted'!Y14</f>
        <v>1.2196300105403071</v>
      </c>
      <c r="Z3">
        <f>'BCDTRtSY-state-adjusted'!Z14</f>
        <v>1.2269997859112376</v>
      </c>
      <c r="AA3">
        <f>'BCDTRtSY-state-adjusted'!AA14</f>
        <v>1.2343121471386371</v>
      </c>
      <c r="AB3">
        <f>'BCDTRtSY-state-adjusted'!AB14</f>
        <v>1.2410459408478764</v>
      </c>
    </row>
    <row r="4" spans="1:28">
      <c r="A4" t="s">
        <v>116</v>
      </c>
      <c r="B4">
        <f>'BCDTRtSY-state-adjusted'!B15</f>
        <v>1</v>
      </c>
      <c r="C4">
        <f>'BCDTRtSY-state-adjusted'!C15</f>
        <v>1</v>
      </c>
      <c r="D4">
        <f>'BCDTRtSY-state-adjusted'!D15</f>
        <v>1.0244285164724691</v>
      </c>
      <c r="E4">
        <f>'BCDTRtSY-state-adjusted'!E15</f>
        <v>1.0410266887001323</v>
      </c>
      <c r="F4">
        <f>'BCDTRtSY-state-adjusted'!F15</f>
        <v>1.051141542475085</v>
      </c>
      <c r="G4">
        <f>'BCDTRtSY-state-adjusted'!G15</f>
        <v>1.0648895228720552</v>
      </c>
      <c r="H4">
        <f>'BCDTRtSY-state-adjusted'!H15</f>
        <v>1.0815396900809457</v>
      </c>
      <c r="I4">
        <f>'BCDTRtSY-state-adjusted'!I15</f>
        <v>1.1026426080743694</v>
      </c>
      <c r="J4">
        <f>'BCDTRtSY-state-adjusted'!J15</f>
        <v>1.1269561218806756</v>
      </c>
      <c r="K4">
        <f>'BCDTRtSY-state-adjusted'!K15</f>
        <v>1.1528652614541086</v>
      </c>
      <c r="L4">
        <f>'BCDTRtSY-state-adjusted'!L15</f>
        <v>1.1806927882093159</v>
      </c>
      <c r="M4">
        <f>'BCDTRtSY-state-adjusted'!M15</f>
        <v>1.2105729560251048</v>
      </c>
      <c r="N4">
        <f>'BCDTRtSY-state-adjusted'!N15</f>
        <v>1.2360725024248025</v>
      </c>
      <c r="O4">
        <f>'BCDTRtSY-state-adjusted'!O15</f>
        <v>1.2618963836494907</v>
      </c>
      <c r="P4">
        <f>'BCDTRtSY-state-adjusted'!P15</f>
        <v>1.2878174378313352</v>
      </c>
      <c r="Q4">
        <f>'BCDTRtSY-state-adjusted'!Q15</f>
        <v>1.3133099193921003</v>
      </c>
      <c r="R4">
        <f>'BCDTRtSY-state-adjusted'!R15</f>
        <v>1.3393827503957318</v>
      </c>
      <c r="S4">
        <f>'BCDTRtSY-state-adjusted'!S15</f>
        <v>1.3645300547939629</v>
      </c>
      <c r="T4">
        <f>'BCDTRtSY-state-adjusted'!T15</f>
        <v>1.3906756539108283</v>
      </c>
      <c r="U4">
        <f>'BCDTRtSY-state-adjusted'!U15</f>
        <v>1.4180034515796389</v>
      </c>
      <c r="V4">
        <f>'BCDTRtSY-state-adjusted'!V15</f>
        <v>1.445532169858784</v>
      </c>
      <c r="W4">
        <f>'BCDTRtSY-state-adjusted'!W15</f>
        <v>1.4734111194121853</v>
      </c>
      <c r="X4">
        <f>'BCDTRtSY-state-adjusted'!X15</f>
        <v>1.5008278472316543</v>
      </c>
      <c r="Y4">
        <f>'BCDTRtSY-state-adjusted'!Y15</f>
        <v>1.527086945714788</v>
      </c>
      <c r="Z4">
        <f>'BCDTRtSY-state-adjusted'!Z15</f>
        <v>1.5537309380541502</v>
      </c>
      <c r="AA4">
        <f>'BCDTRtSY-state-adjusted'!AA15</f>
        <v>1.5798633421215325</v>
      </c>
      <c r="AB4">
        <f>'BCDTRtSY-state-adjusted'!AB15</f>
        <v>1.606628402767118</v>
      </c>
    </row>
    <row r="5" spans="1:28">
      <c r="A5" t="s">
        <v>121</v>
      </c>
      <c r="B5">
        <f>'BCDTRtSY-state-adjusted'!B16</f>
        <v>1</v>
      </c>
      <c r="C5">
        <f>'BCDTRtSY-state-adjusted'!C16</f>
        <v>1</v>
      </c>
      <c r="D5">
        <f>'BCDTRtSY-state-adjusted'!D16</f>
        <v>0.97498510156820006</v>
      </c>
      <c r="E5">
        <f>'BCDTRtSY-state-adjusted'!E16</f>
        <v>1.0040645355290281</v>
      </c>
      <c r="F5">
        <f>'BCDTRtSY-state-adjusted'!F16</f>
        <v>0.98118213111432173</v>
      </c>
      <c r="G5">
        <f>'BCDTRtSY-state-adjusted'!G16</f>
        <v>0.97118057108410627</v>
      </c>
      <c r="H5">
        <f>'BCDTRtSY-state-adjusted'!H16</f>
        <v>0.97539244293273486</v>
      </c>
      <c r="I5">
        <f>'BCDTRtSY-state-adjusted'!I16</f>
        <v>0.95243591160299712</v>
      </c>
      <c r="J5">
        <f>'BCDTRtSY-state-adjusted'!J16</f>
        <v>0.95849286651399612</v>
      </c>
      <c r="K5">
        <f>'BCDTRtSY-state-adjusted'!K16</f>
        <v>0.96470916318686917</v>
      </c>
      <c r="L5">
        <f>'BCDTRtSY-state-adjusted'!L16</f>
        <v>0.96402022236490925</v>
      </c>
      <c r="M5">
        <f>'BCDTRtSY-state-adjusted'!M16</f>
        <v>0.96921736005005865</v>
      </c>
      <c r="N5">
        <f>'BCDTRtSY-state-adjusted'!N16</f>
        <v>0.97355958081972493</v>
      </c>
      <c r="O5">
        <f>'BCDTRtSY-state-adjusted'!O16</f>
        <v>0.97929116546782802</v>
      </c>
      <c r="P5">
        <f>'BCDTRtSY-state-adjusted'!P16</f>
        <v>0.98172847242419092</v>
      </c>
      <c r="Q5">
        <f>'BCDTRtSY-state-adjusted'!Q16</f>
        <v>0.98574425755548079</v>
      </c>
      <c r="R5">
        <f>'BCDTRtSY-state-adjusted'!R16</f>
        <v>0.98875512759288287</v>
      </c>
      <c r="S5">
        <f>'BCDTRtSY-state-adjusted'!S16</f>
        <v>0.98974231275211688</v>
      </c>
      <c r="T5">
        <f>'BCDTRtSY-state-adjusted'!T16</f>
        <v>0.9885596653408818</v>
      </c>
      <c r="U5">
        <f>'BCDTRtSY-state-adjusted'!U16</f>
        <v>0.9880103334146777</v>
      </c>
      <c r="V5">
        <f>'BCDTRtSY-state-adjusted'!V16</f>
        <v>0.98997723167537788</v>
      </c>
      <c r="W5">
        <f>'BCDTRtSY-state-adjusted'!W16</f>
        <v>0.99132908490804972</v>
      </c>
      <c r="X5">
        <f>'BCDTRtSY-state-adjusted'!X16</f>
        <v>0.99526408600315064</v>
      </c>
      <c r="Y5">
        <f>'BCDTRtSY-state-adjusted'!Y16</f>
        <v>1.0029957462112684</v>
      </c>
      <c r="Z5">
        <f>'BCDTRtSY-state-adjusted'!Z16</f>
        <v>1.008044797661799</v>
      </c>
      <c r="AA5">
        <f>'BCDTRtSY-state-adjusted'!AA16</f>
        <v>1.0070360792511173</v>
      </c>
      <c r="AB5">
        <f>'BCDTRtSY-state-adjusted'!AB16</f>
        <v>1.0067028774517395</v>
      </c>
    </row>
    <row r="6" spans="1:28">
      <c r="A6" t="s">
        <v>122</v>
      </c>
      <c r="B6">
        <f>'BCDTRtSY-state-adjusted'!B17</f>
        <v>1</v>
      </c>
      <c r="C6">
        <f>'BCDTRtSY-state-adjusted'!C17</f>
        <v>1</v>
      </c>
      <c r="D6">
        <f>'BCDTRtSY-state-adjusted'!D17</f>
        <v>0.98982166107748404</v>
      </c>
      <c r="E6">
        <f>'BCDTRtSY-state-adjusted'!E17</f>
        <v>1.0065694085405683</v>
      </c>
      <c r="F6">
        <f>'BCDTRtSY-state-adjusted'!F17</f>
        <v>1.0252560868371732</v>
      </c>
      <c r="G6">
        <f>'BCDTRtSY-state-adjusted'!G17</f>
        <v>1.0405251845440227</v>
      </c>
      <c r="H6">
        <f>'BCDTRtSY-state-adjusted'!H17</f>
        <v>1.0566435828945375</v>
      </c>
      <c r="I6">
        <f>'BCDTRtSY-state-adjusted'!I17</f>
        <v>1.0760482687412218</v>
      </c>
      <c r="J6">
        <f>'BCDTRtSY-state-adjusted'!J17</f>
        <v>1.0975624373829136</v>
      </c>
      <c r="K6">
        <f>'BCDTRtSY-state-adjusted'!K17</f>
        <v>1.1194499156953965</v>
      </c>
      <c r="L6">
        <f>'BCDTRtSY-state-adjusted'!L17</f>
        <v>1.1421388173402616</v>
      </c>
      <c r="M6">
        <f>'BCDTRtSY-state-adjusted'!M17</f>
        <v>1.1659241951038937</v>
      </c>
      <c r="N6">
        <f>'BCDTRtSY-state-adjusted'!N17</f>
        <v>1.1857591003171306</v>
      </c>
      <c r="O6">
        <f>'BCDTRtSY-state-adjusted'!O17</f>
        <v>1.202286023017471</v>
      </c>
      <c r="P6">
        <f>'BCDTRtSY-state-adjusted'!P17</f>
        <v>1.2188549861491853</v>
      </c>
      <c r="Q6">
        <f>'BCDTRtSY-state-adjusted'!Q17</f>
        <v>1.2342747652018506</v>
      </c>
      <c r="R6">
        <f>'BCDTRtSY-state-adjusted'!R17</f>
        <v>1.2498224877578092</v>
      </c>
      <c r="S6">
        <f>'BCDTRtSY-state-adjusted'!S17</f>
        <v>1.2648381585593098</v>
      </c>
      <c r="T6">
        <f>'BCDTRtSY-state-adjusted'!T17</f>
        <v>1.2809908165408304</v>
      </c>
      <c r="U6">
        <f>'BCDTRtSY-state-adjusted'!U17</f>
        <v>1.2967632982986701</v>
      </c>
      <c r="V6">
        <f>'BCDTRtSY-state-adjusted'!V17</f>
        <v>1.3124322849942889</v>
      </c>
      <c r="W6">
        <f>'BCDTRtSY-state-adjusted'!W17</f>
        <v>1.3295449677899365</v>
      </c>
      <c r="X6">
        <f>'BCDTRtSY-state-adjusted'!X17</f>
        <v>1.3468743588960417</v>
      </c>
      <c r="Y6">
        <f>'BCDTRtSY-state-adjusted'!Y17</f>
        <v>1.3644578677719283</v>
      </c>
      <c r="Z6">
        <f>'BCDTRtSY-state-adjusted'!Z17</f>
        <v>1.3812981024950028</v>
      </c>
      <c r="AA6">
        <f>'BCDTRtSY-state-adjusted'!AA17</f>
        <v>1.3978702640049732</v>
      </c>
      <c r="AB6">
        <f>'BCDTRtSY-state-adjusted'!AB17</f>
        <v>1.4159955193968696</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2026-08-14T21:49:36Z</dcterms:modified>
</cp:coreProperties>
</file>