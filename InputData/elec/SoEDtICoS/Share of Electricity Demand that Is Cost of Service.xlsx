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TN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577</v>
      </c>
      <c r="C4" t="inlineStr">
        <is>
          <t>City of Alcoa Utilities</t>
        </is>
      </c>
      <c r="D4" t="inlineStr">
        <is>
          <t>A</t>
        </is>
      </c>
      <c r="E4" t="inlineStr">
        <is>
          <t>Bundled</t>
        </is>
      </c>
      <c r="F4" t="inlineStr">
        <is>
          <t>O</t>
        </is>
      </c>
      <c r="G4" t="inlineStr">
        <is>
          <t>TN</t>
        </is>
      </c>
      <c r="H4" t="inlineStr">
        <is>
          <t>Municipal</t>
        </is>
      </c>
      <c r="I4" t="inlineStr">
        <is>
          <t>TVA</t>
        </is>
      </c>
      <c r="J4" t="n">
        <v>50103</v>
      </c>
      <c r="K4" t="n">
        <v>410299</v>
      </c>
      <c r="L4" t="n">
        <v>28183</v>
      </c>
      <c r="M4" t="n">
        <v>30222</v>
      </c>
      <c r="N4" t="n">
        <v>261925</v>
      </c>
      <c r="O4" t="n">
        <v>4543</v>
      </c>
      <c r="P4" t="n">
        <v>158</v>
      </c>
      <c r="Q4" t="n">
        <v>1098</v>
      </c>
      <c r="R4" t="n">
        <v>1</v>
      </c>
      <c r="S4" t="n">
        <v>0</v>
      </c>
      <c r="T4" t="n">
        <v>0</v>
      </c>
      <c r="U4" t="n">
        <v>0</v>
      </c>
      <c r="V4" t="n">
        <v>80483</v>
      </c>
      <c r="W4" t="n">
        <v>673322</v>
      </c>
      <c r="X4" t="n">
        <v>32727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727</v>
      </c>
      <c r="C5" t="inlineStr">
        <is>
          <t>Appalachian Electric Coop</t>
        </is>
      </c>
      <c r="D5" t="inlineStr">
        <is>
          <t>A</t>
        </is>
      </c>
      <c r="E5" t="inlineStr">
        <is>
          <t>Bundled</t>
        </is>
      </c>
      <c r="F5" t="inlineStr">
        <is>
          <t>O</t>
        </is>
      </c>
      <c r="G5" t="inlineStr">
        <is>
          <t>TN</t>
        </is>
      </c>
      <c r="H5" t="inlineStr">
        <is>
          <t>Cooperative</t>
        </is>
      </c>
      <c r="I5" t="inlineStr">
        <is>
          <t>TVA</t>
        </is>
      </c>
      <c r="J5" t="n">
        <v>82864</v>
      </c>
      <c r="K5" t="n">
        <v>640950</v>
      </c>
      <c r="L5" t="n">
        <v>43709</v>
      </c>
      <c r="M5" t="n">
        <v>32066</v>
      </c>
      <c r="N5" t="n">
        <v>248037</v>
      </c>
      <c r="O5" t="n">
        <v>7650</v>
      </c>
      <c r="P5" t="n">
        <v>5475</v>
      </c>
      <c r="Q5" t="n">
        <v>83719</v>
      </c>
      <c r="R5" t="n">
        <v>7</v>
      </c>
      <c r="S5" t="n">
        <v>0</v>
      </c>
      <c r="T5" t="n">
        <v>0</v>
      </c>
      <c r="U5" t="n">
        <v>0</v>
      </c>
      <c r="V5" t="n">
        <v>120405</v>
      </c>
      <c r="W5" t="n">
        <v>972706</v>
      </c>
      <c r="X5" t="n">
        <v>51366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814</v>
      </c>
      <c r="C6" t="inlineStr">
        <is>
          <t>Entergy Arkansas LLC</t>
        </is>
      </c>
      <c r="D6" t="inlineStr">
        <is>
          <t>A</t>
        </is>
      </c>
      <c r="E6" t="inlineStr">
        <is>
          <t>Bundled</t>
        </is>
      </c>
      <c r="F6" t="inlineStr">
        <is>
          <t>O</t>
        </is>
      </c>
      <c r="G6" t="inlineStr">
        <is>
          <t>TN</t>
        </is>
      </c>
      <c r="H6" t="inlineStr">
        <is>
          <t>Investor Owned</t>
        </is>
      </c>
      <c r="I6" t="inlineStr">
        <is>
          <t>MISO</t>
        </is>
      </c>
      <c r="J6" t="n">
        <v>3.7</v>
      </c>
      <c r="K6" t="n">
        <v>31</v>
      </c>
      <c r="L6" t="n">
        <v>1</v>
      </c>
      <c r="M6" t="n">
        <v>4.4</v>
      </c>
      <c r="N6" t="n">
        <v>24</v>
      </c>
      <c r="O6" t="n">
        <v>3</v>
      </c>
      <c r="P6" t="n">
        <v>2.2</v>
      </c>
      <c r="Q6" t="n">
        <v>9</v>
      </c>
      <c r="R6" t="n">
        <v>3</v>
      </c>
      <c r="S6" t="inlineStr">
        <is>
          <t>.</t>
        </is>
      </c>
      <c r="T6" t="inlineStr">
        <is>
          <t>.</t>
        </is>
      </c>
      <c r="U6" t="inlineStr">
        <is>
          <t>.</t>
        </is>
      </c>
      <c r="V6" t="n">
        <v>10.3</v>
      </c>
      <c r="W6" t="n">
        <v>64</v>
      </c>
      <c r="X6" t="n">
        <v>7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947</v>
      </c>
      <c r="C7" t="inlineStr">
        <is>
          <t>Athens Utility Board</t>
        </is>
      </c>
      <c r="D7" t="inlineStr">
        <is>
          <t>A</t>
        </is>
      </c>
      <c r="E7" t="inlineStr">
        <is>
          <t>Bundled</t>
        </is>
      </c>
      <c r="F7" t="inlineStr">
        <is>
          <t>O</t>
        </is>
      </c>
      <c r="G7" t="inlineStr">
        <is>
          <t>TN</t>
        </is>
      </c>
      <c r="H7" t="inlineStr">
        <is>
          <t>Municipal</t>
        </is>
      </c>
      <c r="I7" t="inlineStr">
        <is>
          <t>TVA</t>
        </is>
      </c>
      <c r="J7" t="n">
        <v>18977</v>
      </c>
      <c r="K7" t="n">
        <v>161213</v>
      </c>
      <c r="L7" t="n">
        <v>11651</v>
      </c>
      <c r="M7" t="n">
        <v>18877</v>
      </c>
      <c r="N7" t="n">
        <v>147230</v>
      </c>
      <c r="O7" t="n">
        <v>2468</v>
      </c>
      <c r="P7" t="n">
        <v>18919</v>
      </c>
      <c r="Q7" t="n">
        <v>328142</v>
      </c>
      <c r="R7" t="n">
        <v>7</v>
      </c>
      <c r="S7" t="n">
        <v>0</v>
      </c>
      <c r="T7" t="n">
        <v>0</v>
      </c>
      <c r="U7" t="n">
        <v>0</v>
      </c>
      <c r="V7" t="n">
        <v>56773</v>
      </c>
      <c r="W7" t="n">
        <v>636585</v>
      </c>
      <c r="X7" t="n">
        <v>14126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1578</v>
      </c>
      <c r="C8" t="inlineStr">
        <is>
          <t>Benton County</t>
        </is>
      </c>
      <c r="D8" t="inlineStr">
        <is>
          <t>A</t>
        </is>
      </c>
      <c r="E8" t="inlineStr">
        <is>
          <t>Bundled</t>
        </is>
      </c>
      <c r="F8" t="inlineStr">
        <is>
          <t>O</t>
        </is>
      </c>
      <c r="G8" t="inlineStr">
        <is>
          <t>TN</t>
        </is>
      </c>
      <c r="H8" t="inlineStr">
        <is>
          <t>Municipal</t>
        </is>
      </c>
      <c r="I8" t="inlineStr">
        <is>
          <t>TVA</t>
        </is>
      </c>
      <c r="J8" t="n">
        <v>15567</v>
      </c>
      <c r="K8" t="n">
        <v>112158</v>
      </c>
      <c r="L8" t="n">
        <v>8775</v>
      </c>
      <c r="M8" t="n">
        <v>8168</v>
      </c>
      <c r="N8" t="n">
        <v>53806</v>
      </c>
      <c r="O8" t="n">
        <v>1886</v>
      </c>
      <c r="P8" t="n">
        <v>2668</v>
      </c>
      <c r="Q8" t="n">
        <v>27312</v>
      </c>
      <c r="R8" t="n">
        <v>3</v>
      </c>
      <c r="S8" t="n">
        <v>0</v>
      </c>
      <c r="T8" t="n">
        <v>0</v>
      </c>
      <c r="U8" t="n">
        <v>0</v>
      </c>
      <c r="V8" t="n">
        <v>26403</v>
      </c>
      <c r="W8" t="n">
        <v>193276</v>
      </c>
      <c r="X8" t="n">
        <v>10664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1936</v>
      </c>
      <c r="C9" t="inlineStr">
        <is>
          <t>Bolivar Energy Authority</t>
        </is>
      </c>
      <c r="D9" t="inlineStr">
        <is>
          <t>A</t>
        </is>
      </c>
      <c r="E9" t="inlineStr">
        <is>
          <t>Bundled</t>
        </is>
      </c>
      <c r="F9" t="inlineStr">
        <is>
          <t>O</t>
        </is>
      </c>
      <c r="G9" t="inlineStr">
        <is>
          <t>TN</t>
        </is>
      </c>
      <c r="H9" t="inlineStr">
        <is>
          <t>Municipal</t>
        </is>
      </c>
      <c r="I9" t="inlineStr">
        <is>
          <t>TVA</t>
        </is>
      </c>
      <c r="J9" t="n">
        <v>16757</v>
      </c>
      <c r="K9" t="n">
        <v>124099</v>
      </c>
      <c r="L9" t="n">
        <v>8929</v>
      </c>
      <c r="M9" t="n">
        <v>11215</v>
      </c>
      <c r="N9" t="n">
        <v>77047</v>
      </c>
      <c r="O9" t="n">
        <v>2519</v>
      </c>
      <c r="P9" t="n">
        <v>1369</v>
      </c>
      <c r="Q9" t="n">
        <v>18493</v>
      </c>
      <c r="R9" t="n">
        <v>1</v>
      </c>
      <c r="S9" t="n">
        <v>0</v>
      </c>
      <c r="T9" t="n">
        <v>0</v>
      </c>
      <c r="U9" t="n">
        <v>0</v>
      </c>
      <c r="V9" t="n">
        <v>29341</v>
      </c>
      <c r="W9" t="n">
        <v>219639</v>
      </c>
      <c r="X9" t="n">
        <v>11449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2247</v>
      </c>
      <c r="C10" t="inlineStr">
        <is>
          <t>City of Bristol - (TN)</t>
        </is>
      </c>
      <c r="D10" t="inlineStr">
        <is>
          <t>A</t>
        </is>
      </c>
      <c r="E10" t="inlineStr">
        <is>
          <t>Bundled</t>
        </is>
      </c>
      <c r="F10" t="inlineStr">
        <is>
          <t>O</t>
        </is>
      </c>
      <c r="G10" t="inlineStr">
        <is>
          <t>TN</t>
        </is>
      </c>
      <c r="H10" t="inlineStr">
        <is>
          <t>Municipal</t>
        </is>
      </c>
      <c r="I10" t="inlineStr">
        <is>
          <t>TVA</t>
        </is>
      </c>
      <c r="J10" t="n">
        <v>48093</v>
      </c>
      <c r="K10" t="n">
        <v>444739</v>
      </c>
      <c r="L10" t="n">
        <v>29622</v>
      </c>
      <c r="M10" t="n">
        <v>37814</v>
      </c>
      <c r="N10" t="n">
        <v>310905</v>
      </c>
      <c r="O10" t="n">
        <v>4812</v>
      </c>
      <c r="P10" t="n">
        <v>7205</v>
      </c>
      <c r="Q10" t="n">
        <v>105803</v>
      </c>
      <c r="R10" t="n">
        <v>8</v>
      </c>
      <c r="S10" t="n">
        <v>0</v>
      </c>
      <c r="T10" t="n">
        <v>0</v>
      </c>
      <c r="U10" t="n">
        <v>0</v>
      </c>
      <c r="V10" t="n">
        <v>93112</v>
      </c>
      <c r="W10" t="n">
        <v>861447</v>
      </c>
      <c r="X10" t="n">
        <v>34442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  <row r="11">
      <c r="A11" t="n">
        <v>2024</v>
      </c>
      <c r="B11" t="n">
        <v>2411</v>
      </c>
      <c r="C11" t="inlineStr">
        <is>
          <t>City of Brownsville</t>
        </is>
      </c>
      <c r="D11" t="inlineStr">
        <is>
          <t>A</t>
        </is>
      </c>
      <c r="E11" t="inlineStr">
        <is>
          <t>Bundled</t>
        </is>
      </c>
      <c r="F11" t="inlineStr">
        <is>
          <t>O</t>
        </is>
      </c>
      <c r="G11" t="inlineStr">
        <is>
          <t>TN</t>
        </is>
      </c>
      <c r="H11" t="inlineStr">
        <is>
          <t>Municipal</t>
        </is>
      </c>
      <c r="I11" t="inlineStr">
        <is>
          <t>TVA</t>
        </is>
      </c>
      <c r="J11" t="n">
        <v>5728</v>
      </c>
      <c r="K11" t="n">
        <v>50123</v>
      </c>
      <c r="L11" t="n">
        <v>4067</v>
      </c>
      <c r="M11" t="n">
        <v>6976</v>
      </c>
      <c r="N11" t="n">
        <v>57247</v>
      </c>
      <c r="O11" t="n">
        <v>1351</v>
      </c>
      <c r="P11" t="n">
        <v>4884</v>
      </c>
      <c r="Q11" t="n">
        <v>75259</v>
      </c>
      <c r="R11" t="n">
        <v>3</v>
      </c>
      <c r="S11" t="n">
        <v>0</v>
      </c>
      <c r="T11" t="n">
        <v>0</v>
      </c>
      <c r="U11" t="n">
        <v>0</v>
      </c>
      <c r="V11" t="n">
        <v>17588</v>
      </c>
      <c r="W11" t="n">
        <v>182629</v>
      </c>
      <c r="X11" t="n">
        <v>5421</v>
      </c>
      <c r="Y11">
        <f>IF(ISNUMBER($W11),$W11,0)</f>
        <v/>
      </c>
      <c r="Z11">
        <f>IF(ISNUMBER(SEARCH("Adjustment",$C11)),"excluded",IF($H11="Behind the Meter","excluded",IF(NOT(OR($E11="Bundled",$E11="Energy")),"excluded",IF(OR($H11="Retail Power Marketer",$H11="Community Choice Aggregator",$E11="Energy"),"procurement",IF(OR($H11="Municipal",$H11="Cooperative",$H11="Federal",$H11="State",$H11="Political Subdivision"),"cost_service",IF($H11="Investor Owned",IF(AND(COUNTIF(Parameters!$A$4:$A$33,$G11)&gt;0,COUNTIF(Parameters!$B$4:$B$33,$B11)=0),"procurement","cost_service"),"unclassified"))))))</f>
        <v/>
      </c>
    </row>
    <row r="12">
      <c r="A12" t="n">
        <v>2024</v>
      </c>
      <c r="B12" t="n">
        <v>2960</v>
      </c>
      <c r="C12" t="inlineStr">
        <is>
          <t>Caney Fork Electric Coop, Inc</t>
        </is>
      </c>
      <c r="D12" t="inlineStr">
        <is>
          <t>A</t>
        </is>
      </c>
      <c r="E12" t="inlineStr">
        <is>
          <t>Bundled</t>
        </is>
      </c>
      <c r="F12" t="inlineStr">
        <is>
          <t>O</t>
        </is>
      </c>
      <c r="G12" t="inlineStr">
        <is>
          <t>TN</t>
        </is>
      </c>
      <c r="H12" t="inlineStr">
        <is>
          <t>Cooperative</t>
        </is>
      </c>
      <c r="I12" t="inlineStr">
        <is>
          <t>TVA</t>
        </is>
      </c>
      <c r="J12" t="n">
        <v>53128</v>
      </c>
      <c r="K12" t="n">
        <v>412293</v>
      </c>
      <c r="L12" t="n">
        <v>29631</v>
      </c>
      <c r="M12" t="n">
        <v>21314</v>
      </c>
      <c r="N12" t="n">
        <v>135795</v>
      </c>
      <c r="O12" t="n">
        <v>6254</v>
      </c>
      <c r="P12" t="n">
        <v>4498</v>
      </c>
      <c r="Q12" t="n">
        <v>65012</v>
      </c>
      <c r="R12" t="n">
        <v>3</v>
      </c>
      <c r="S12" t="n">
        <v>0</v>
      </c>
      <c r="T12" t="n">
        <v>0</v>
      </c>
      <c r="U12" t="n">
        <v>0</v>
      </c>
      <c r="V12" t="n">
        <v>78940</v>
      </c>
      <c r="W12" t="n">
        <v>613100</v>
      </c>
      <c r="X12" t="n">
        <v>35888</v>
      </c>
      <c r="Y12">
        <f>IF(ISNUMBER($W12),$W12,0)</f>
        <v/>
      </c>
      <c r="Z12">
        <f>IF(ISNUMBER(SEARCH("Adjustment",$C12)),"excluded",IF($H12="Behind the Meter","excluded",IF(NOT(OR($E12="Bundled",$E12="Energy")),"excluded",IF(OR($H12="Retail Power Marketer",$H12="Community Choice Aggregator",$E12="Energy"),"procurement",IF(OR($H12="Municipal",$H12="Cooperative",$H12="Federal",$H12="State",$H12="Political Subdivision"),"cost_service",IF($H12="Investor Owned",IF(AND(COUNTIF(Parameters!$A$4:$A$33,$G12)&gt;0,COUNTIF(Parameters!$B$4:$B$33,$B12)=0),"procurement","cost_service"),"unclassified"))))))</f>
        <v/>
      </c>
    </row>
    <row r="13">
      <c r="A13" t="n">
        <v>2024</v>
      </c>
      <c r="B13" t="n">
        <v>3075</v>
      </c>
      <c r="C13" t="inlineStr">
        <is>
          <t>Carroll County - (TN)</t>
        </is>
      </c>
      <c r="D13" t="inlineStr">
        <is>
          <t>A</t>
        </is>
      </c>
      <c r="E13" t="inlineStr">
        <is>
          <t>Bundled</t>
        </is>
      </c>
      <c r="F13" t="inlineStr">
        <is>
          <t>O</t>
        </is>
      </c>
      <c r="G13" t="inlineStr">
        <is>
          <t>TN</t>
        </is>
      </c>
      <c r="H13" t="inlineStr">
        <is>
          <t>Municipal</t>
        </is>
      </c>
      <c r="I13" t="inlineStr">
        <is>
          <t>TVA</t>
        </is>
      </c>
      <c r="J13" t="n">
        <v>21176</v>
      </c>
      <c r="K13" t="n">
        <v>177621</v>
      </c>
      <c r="L13" t="n">
        <v>12344</v>
      </c>
      <c r="M13" t="n">
        <v>13035</v>
      </c>
      <c r="N13" t="n">
        <v>107426</v>
      </c>
      <c r="O13" t="n">
        <v>3225</v>
      </c>
      <c r="P13" t="n">
        <v>10065</v>
      </c>
      <c r="Q13" t="n">
        <v>194048</v>
      </c>
      <c r="R13" t="n">
        <v>2</v>
      </c>
      <c r="S13" t="n">
        <v>0</v>
      </c>
      <c r="T13" t="n">
        <v>0</v>
      </c>
      <c r="U13" t="n">
        <v>0</v>
      </c>
      <c r="V13" t="n">
        <v>44276</v>
      </c>
      <c r="W13" t="n">
        <v>479095</v>
      </c>
      <c r="X13" t="n">
        <v>15571</v>
      </c>
      <c r="Y13">
        <f>IF(ISNUMBER($W13),$W13,0)</f>
        <v/>
      </c>
      <c r="Z13">
        <f>IF(ISNUMBER(SEARCH("Adjustment",$C13)),"excluded",IF($H13="Behind the Meter","excluded",IF(NOT(OR($E13="Bundled",$E13="Energy")),"excluded",IF(OR($H13="Retail Power Marketer",$H13="Community Choice Aggregator",$E13="Energy"),"procurement",IF(OR($H13="Municipal",$H13="Cooperative",$H13="Federal",$H13="State",$H13="Political Subdivision"),"cost_service",IF($H13="Investor Owned",IF(AND(COUNTIF(Parameters!$A$4:$A$33,$G13)&gt;0,COUNTIF(Parameters!$B$4:$B$33,$B13)=0),"procurement","cost_service"),"unclassified"))))))</f>
        <v/>
      </c>
    </row>
    <row r="14">
      <c r="A14" t="n">
        <v>2024</v>
      </c>
      <c r="B14" t="n">
        <v>3408</v>
      </c>
      <c r="C14" t="inlineStr">
        <is>
          <t>City of Chattanooga - (TN)</t>
        </is>
      </c>
      <c r="D14" t="inlineStr">
        <is>
          <t>A</t>
        </is>
      </c>
      <c r="E14" t="inlineStr">
        <is>
          <t>Bundled</t>
        </is>
      </c>
      <c r="F14" t="inlineStr">
        <is>
          <t>O</t>
        </is>
      </c>
      <c r="G14" t="inlineStr">
        <is>
          <t>TN</t>
        </is>
      </c>
      <c r="H14" t="inlineStr">
        <is>
          <t>Municipal</t>
        </is>
      </c>
      <c r="I14" t="inlineStr">
        <is>
          <t>TVA</t>
        </is>
      </c>
      <c r="J14" t="n">
        <v>269847</v>
      </c>
      <c r="K14" t="n">
        <v>2190871</v>
      </c>
      <c r="L14" t="n">
        <v>164417</v>
      </c>
      <c r="M14" t="n">
        <v>253847</v>
      </c>
      <c r="N14" t="n">
        <v>2142926</v>
      </c>
      <c r="O14" t="n">
        <v>24691</v>
      </c>
      <c r="P14" t="n">
        <v>80555</v>
      </c>
      <c r="Q14" t="n">
        <v>1230085</v>
      </c>
      <c r="R14" t="n">
        <v>63</v>
      </c>
      <c r="S14" t="n">
        <v>0</v>
      </c>
      <c r="T14" t="n">
        <v>0</v>
      </c>
      <c r="U14" t="n">
        <v>0</v>
      </c>
      <c r="V14" t="n">
        <v>604249</v>
      </c>
      <c r="W14" t="n">
        <v>5563882</v>
      </c>
      <c r="X14" t="n">
        <v>189171</v>
      </c>
      <c r="Y14">
        <f>IF(ISNUMBER($W14),$W14,0)</f>
        <v/>
      </c>
      <c r="Z14">
        <f>IF(ISNUMBER(SEARCH("Adjustment",$C14)),"excluded",IF($H14="Behind the Meter","excluded",IF(NOT(OR($E14="Bundled",$E14="Energy")),"excluded",IF(OR($H14="Retail Power Marketer",$H14="Community Choice Aggregator",$E14="Energy"),"procurement",IF(OR($H14="Municipal",$H14="Cooperative",$H14="Federal",$H14="State",$H14="Political Subdivision"),"cost_service",IF($H14="Investor Owned",IF(AND(COUNTIF(Parameters!$A$4:$A$33,$G14)&gt;0,COUNTIF(Parameters!$B$4:$B$33,$B14)=0),"procurement","cost_service"),"unclassified"))))))</f>
        <v/>
      </c>
    </row>
    <row r="15">
      <c r="A15" t="n">
        <v>2024</v>
      </c>
      <c r="B15" t="n">
        <v>3704</v>
      </c>
      <c r="C15" t="inlineStr">
        <is>
          <t>City of Clarksville - (TN)</t>
        </is>
      </c>
      <c r="D15" t="inlineStr">
        <is>
          <t>A</t>
        </is>
      </c>
      <c r="E15" t="inlineStr">
        <is>
          <t>Bundled</t>
        </is>
      </c>
      <c r="F15" t="inlineStr">
        <is>
          <t>O</t>
        </is>
      </c>
      <c r="G15" t="inlineStr">
        <is>
          <t>TN</t>
        </is>
      </c>
      <c r="H15" t="inlineStr">
        <is>
          <t>Municipal</t>
        </is>
      </c>
      <c r="I15" t="inlineStr">
        <is>
          <t>TVA</t>
        </is>
      </c>
      <c r="J15" t="n">
        <v>130520</v>
      </c>
      <c r="K15" t="n">
        <v>1021858</v>
      </c>
      <c r="L15" t="n">
        <v>75953</v>
      </c>
      <c r="M15" t="n">
        <v>69667</v>
      </c>
      <c r="N15" t="n">
        <v>575059</v>
      </c>
      <c r="O15" t="n">
        <v>9358</v>
      </c>
      <c r="P15" t="n">
        <v>4293</v>
      </c>
      <c r="Q15" t="n">
        <v>69522</v>
      </c>
      <c r="R15" t="n">
        <v>3</v>
      </c>
      <c r="S15" t="n">
        <v>0</v>
      </c>
      <c r="T15" t="n">
        <v>0</v>
      </c>
      <c r="U15" t="n">
        <v>0</v>
      </c>
      <c r="V15" t="n">
        <v>204480</v>
      </c>
      <c r="W15" t="n">
        <v>1666439</v>
      </c>
      <c r="X15" t="n">
        <v>85314</v>
      </c>
      <c r="Y15">
        <f>IF(ISNUMBER($W15),$W15,0)</f>
        <v/>
      </c>
      <c r="Z15">
        <f>IF(ISNUMBER(SEARCH("Adjustment",$C15)),"excluded",IF($H15="Behind the Meter","excluded",IF(NOT(OR($E15="Bundled",$E15="Energy")),"excluded",IF(OR($H15="Retail Power Marketer",$H15="Community Choice Aggregator",$E15="Energy"),"procurement",IF(OR($H15="Municipal",$H15="Cooperative",$H15="Federal",$H15="State",$H15="Political Subdivision"),"cost_service",IF($H15="Investor Owned",IF(AND(COUNTIF(Parameters!$A$4:$A$33,$G15)&gt;0,COUNTIF(Parameters!$B$4:$B$33,$B15)=0),"procurement","cost_service"),"unclassified"))))))</f>
        <v/>
      </c>
    </row>
    <row r="16">
      <c r="A16" t="n">
        <v>2024</v>
      </c>
      <c r="B16" t="n">
        <v>3758</v>
      </c>
      <c r="C16" t="inlineStr">
        <is>
          <t>City of Cleveland - (TN)</t>
        </is>
      </c>
      <c r="D16" t="inlineStr">
        <is>
          <t>A</t>
        </is>
      </c>
      <c r="E16" t="inlineStr">
        <is>
          <t>Bundled</t>
        </is>
      </c>
      <c r="F16" t="inlineStr">
        <is>
          <t>O</t>
        </is>
      </c>
      <c r="G16" t="inlineStr">
        <is>
          <t>TN</t>
        </is>
      </c>
      <c r="H16" t="inlineStr">
        <is>
          <t>Municipal</t>
        </is>
      </c>
      <c r="I16" t="inlineStr">
        <is>
          <t>TVA</t>
        </is>
      </c>
      <c r="J16" t="n">
        <v>48649</v>
      </c>
      <c r="K16" t="n">
        <v>388347</v>
      </c>
      <c r="L16" t="n">
        <v>29331</v>
      </c>
      <c r="M16" t="n">
        <v>44672</v>
      </c>
      <c r="N16" t="n">
        <v>376139</v>
      </c>
      <c r="O16" t="n">
        <v>4999</v>
      </c>
      <c r="P16" t="n">
        <v>17967</v>
      </c>
      <c r="Q16" t="n">
        <v>254629</v>
      </c>
      <c r="R16" t="n">
        <v>18</v>
      </c>
      <c r="S16" t="n">
        <v>0</v>
      </c>
      <c r="T16" t="n">
        <v>0</v>
      </c>
      <c r="U16" t="n">
        <v>0</v>
      </c>
      <c r="V16" t="n">
        <v>111288</v>
      </c>
      <c r="W16" t="n">
        <v>1019115</v>
      </c>
      <c r="X16" t="n">
        <v>34348</v>
      </c>
      <c r="Y16">
        <f>IF(ISNUMBER($W16),$W16,0)</f>
        <v/>
      </c>
      <c r="Z16">
        <f>IF(ISNUMBER(SEARCH("Adjustment",$C16)),"excluded",IF($H16="Behind the Meter","excluded",IF(NOT(OR($E16="Bundled",$E16="Energy")),"excluded",IF(OR($H16="Retail Power Marketer",$H16="Community Choice Aggregator",$E16="Energy"),"procurement",IF(OR($H16="Municipal",$H16="Cooperative",$H16="Federal",$H16="State",$H16="Political Subdivision"),"cost_service",IF($H16="Investor Owned",IF(AND(COUNTIF(Parameters!$A$4:$A$33,$G16)&gt;0,COUNTIF(Parameters!$B$4:$B$33,$B16)=0),"procurement","cost_service"),"unclassified"))))))</f>
        <v/>
      </c>
    </row>
    <row r="17">
      <c r="A17" t="n">
        <v>2024</v>
      </c>
      <c r="B17" t="n">
        <v>3812</v>
      </c>
      <c r="C17" t="inlineStr">
        <is>
          <t>City of Clinton - (TN)</t>
        </is>
      </c>
      <c r="D17" t="inlineStr">
        <is>
          <t>A</t>
        </is>
      </c>
      <c r="E17" t="inlineStr">
        <is>
          <t>Bundled</t>
        </is>
      </c>
      <c r="F17" t="inlineStr">
        <is>
          <t>O</t>
        </is>
      </c>
      <c r="G17" t="inlineStr">
        <is>
          <t>TN</t>
        </is>
      </c>
      <c r="H17" t="inlineStr">
        <is>
          <t>Municipal</t>
        </is>
      </c>
      <c r="I17" t="inlineStr">
        <is>
          <t>TVA</t>
        </is>
      </c>
      <c r="J17" t="n">
        <v>48583</v>
      </c>
      <c r="K17" t="n">
        <v>373990</v>
      </c>
      <c r="L17" t="n">
        <v>26230</v>
      </c>
      <c r="M17" t="n">
        <v>24259</v>
      </c>
      <c r="N17" t="n">
        <v>183352</v>
      </c>
      <c r="O17" t="n">
        <v>5106</v>
      </c>
      <c r="P17" t="n">
        <v>16618</v>
      </c>
      <c r="Q17" t="n">
        <v>247931</v>
      </c>
      <c r="R17" t="n">
        <v>10</v>
      </c>
      <c r="S17" t="n">
        <v>0</v>
      </c>
      <c r="T17" t="n">
        <v>0</v>
      </c>
      <c r="U17" t="n">
        <v>0</v>
      </c>
      <c r="V17" t="n">
        <v>89460</v>
      </c>
      <c r="W17" t="n">
        <v>805273</v>
      </c>
      <c r="X17" t="n">
        <v>31346</v>
      </c>
      <c r="Y17">
        <f>IF(ISNUMBER($W17),$W17,0)</f>
        <v/>
      </c>
      <c r="Z17">
        <f>IF(ISNUMBER(SEARCH("Adjustment",$C17)),"excluded",IF($H17="Behind the Meter","excluded",IF(NOT(OR($E17="Bundled",$E17="Energy")),"excluded",IF(OR($H17="Retail Power Marketer",$H17="Community Choice Aggregator",$E17="Energy"),"procurement",IF(OR($H17="Municipal",$H17="Cooperative",$H17="Federal",$H17="State",$H17="Political Subdivision"),"cost_service",IF($H17="Investor Owned",IF(AND(COUNTIF(Parameters!$A$4:$A$33,$G17)&gt;0,COUNTIF(Parameters!$B$4:$B$33,$B17)=0),"procurement","cost_service"),"unclassified"))))))</f>
        <v/>
      </c>
    </row>
    <row r="18">
      <c r="A18" t="n">
        <v>2024</v>
      </c>
      <c r="B18" t="n">
        <v>3855</v>
      </c>
      <c r="C18" t="inlineStr">
        <is>
          <t>Columbia Power System - (TN)</t>
        </is>
      </c>
      <c r="D18" t="inlineStr">
        <is>
          <t>A</t>
        </is>
      </c>
      <c r="E18" t="inlineStr">
        <is>
          <t>Bundled</t>
        </is>
      </c>
      <c r="F18" t="inlineStr">
        <is>
          <t>O</t>
        </is>
      </c>
      <c r="G18" t="inlineStr">
        <is>
          <t>TN</t>
        </is>
      </c>
      <c r="H18" t="inlineStr">
        <is>
          <t>Municipal</t>
        </is>
      </c>
      <c r="I18" t="inlineStr">
        <is>
          <t>TVA</t>
        </is>
      </c>
      <c r="J18" t="n">
        <v>48855</v>
      </c>
      <c r="K18" t="n">
        <v>406984</v>
      </c>
      <c r="L18" t="n">
        <v>31166</v>
      </c>
      <c r="M18" t="n">
        <v>36281</v>
      </c>
      <c r="N18" t="n">
        <v>316202</v>
      </c>
      <c r="O18" t="n">
        <v>5409</v>
      </c>
      <c r="P18" t="n">
        <v>10568</v>
      </c>
      <c r="Q18" t="n">
        <v>174592</v>
      </c>
      <c r="R18" t="n">
        <v>2</v>
      </c>
      <c r="S18" t="n">
        <v>0</v>
      </c>
      <c r="T18" t="n">
        <v>0</v>
      </c>
      <c r="U18" t="n">
        <v>0</v>
      </c>
      <c r="V18" t="n">
        <v>95704</v>
      </c>
      <c r="W18" t="n">
        <v>897778</v>
      </c>
      <c r="X18" t="n">
        <v>36577</v>
      </c>
      <c r="Y18">
        <f>IF(ISNUMBER($W18),$W18,0)</f>
        <v/>
      </c>
      <c r="Z18">
        <f>IF(ISNUMBER(SEARCH("Adjustment",$C18)),"excluded",IF($H18="Behind the Meter","excluded",IF(NOT(OR($E18="Bundled",$E18="Energy")),"excluded",IF(OR($H18="Retail Power Marketer",$H18="Community Choice Aggregator",$E18="Energy"),"procurement",IF(OR($H18="Municipal",$H18="Cooperative",$H18="Federal",$H18="State",$H18="Political Subdivision"),"cost_service",IF($H18="Investor Owned",IF(AND(COUNTIF(Parameters!$A$4:$A$33,$G18)&gt;0,COUNTIF(Parameters!$B$4:$B$33,$B18)=0),"procurement","cost_service"),"unclassified"))))))</f>
        <v/>
      </c>
    </row>
    <row r="19">
      <c r="A19" t="n">
        <v>2024</v>
      </c>
      <c r="B19" t="n">
        <v>4294</v>
      </c>
      <c r="C19" t="inlineStr">
        <is>
          <t>City of Cookeville - (TN)</t>
        </is>
      </c>
      <c r="D19" t="inlineStr">
        <is>
          <t>A</t>
        </is>
      </c>
      <c r="E19" t="inlineStr">
        <is>
          <t>Bundled</t>
        </is>
      </c>
      <c r="F19" t="inlineStr">
        <is>
          <t>O</t>
        </is>
      </c>
      <c r="G19" t="inlineStr">
        <is>
          <t>TN</t>
        </is>
      </c>
      <c r="H19" t="inlineStr">
        <is>
          <t>Municipal</t>
        </is>
      </c>
      <c r="I19" t="inlineStr">
        <is>
          <t>TVA</t>
        </is>
      </c>
      <c r="J19" t="n">
        <v>20619</v>
      </c>
      <c r="K19" t="n">
        <v>182624</v>
      </c>
      <c r="L19" t="n">
        <v>15946</v>
      </c>
      <c r="M19" t="n">
        <v>35633</v>
      </c>
      <c r="N19" t="n">
        <v>326551</v>
      </c>
      <c r="O19" t="n">
        <v>3837</v>
      </c>
      <c r="P19" t="n">
        <v>3048</v>
      </c>
      <c r="Q19" t="n">
        <v>48321</v>
      </c>
      <c r="R19" t="n">
        <v>4</v>
      </c>
      <c r="S19" t="n">
        <v>0</v>
      </c>
      <c r="T19" t="n">
        <v>0</v>
      </c>
      <c r="U19" t="n">
        <v>0</v>
      </c>
      <c r="V19" t="n">
        <v>59300</v>
      </c>
      <c r="W19" t="n">
        <v>557496</v>
      </c>
      <c r="X19" t="n">
        <v>19787</v>
      </c>
      <c r="Y19">
        <f>IF(ISNUMBER($W19),$W19,0)</f>
        <v/>
      </c>
      <c r="Z19">
        <f>IF(ISNUMBER(SEARCH("Adjustment",$C19)),"excluded",IF($H19="Behind the Meter","excluded",IF(NOT(OR($E19="Bundled",$E19="Energy")),"excluded",IF(OR($H19="Retail Power Marketer",$H19="Community Choice Aggregator",$E19="Energy"),"procurement",IF(OR($H19="Municipal",$H19="Cooperative",$H19="Federal",$H19="State",$H19="Political Subdivision"),"cost_service",IF($H19="Investor Owned",IF(AND(COUNTIF(Parameters!$A$4:$A$33,$G19)&gt;0,COUNTIF(Parameters!$B$4:$B$33,$B19)=0),"procurement","cost_service"),"unclassified"))))))</f>
        <v/>
      </c>
    </row>
    <row r="20">
      <c r="A20" t="n">
        <v>2024</v>
      </c>
      <c r="B20" t="n">
        <v>4437</v>
      </c>
      <c r="C20" t="inlineStr">
        <is>
          <t>City of Covington - (TN)</t>
        </is>
      </c>
      <c r="D20" t="inlineStr">
        <is>
          <t>A</t>
        </is>
      </c>
      <c r="E20" t="inlineStr">
        <is>
          <t>Bundled</t>
        </is>
      </c>
      <c r="F20" t="inlineStr">
        <is>
          <t>O</t>
        </is>
      </c>
      <c r="G20" t="inlineStr">
        <is>
          <t>TN</t>
        </is>
      </c>
      <c r="H20" t="inlineStr">
        <is>
          <t>Municipal</t>
        </is>
      </c>
      <c r="I20" t="inlineStr">
        <is>
          <t>TVA</t>
        </is>
      </c>
      <c r="J20" t="n">
        <v>5298</v>
      </c>
      <c r="K20" t="n">
        <v>47690</v>
      </c>
      <c r="L20" t="n">
        <v>3727</v>
      </c>
      <c r="M20" t="n">
        <v>10365</v>
      </c>
      <c r="N20" t="n">
        <v>93136</v>
      </c>
      <c r="O20" t="n">
        <v>983</v>
      </c>
      <c r="P20" t="n">
        <v>5682</v>
      </c>
      <c r="Q20" t="n">
        <v>81335</v>
      </c>
      <c r="R20" t="n">
        <v>3</v>
      </c>
      <c r="S20" t="n">
        <v>0</v>
      </c>
      <c r="T20" t="n">
        <v>0</v>
      </c>
      <c r="U20" t="n">
        <v>0</v>
      </c>
      <c r="V20" t="n">
        <v>21345</v>
      </c>
      <c r="W20" t="n">
        <v>222161</v>
      </c>
      <c r="X20" t="n">
        <v>4713</v>
      </c>
      <c r="Y20">
        <f>IF(ISNUMBER($W20),$W20,0)</f>
        <v/>
      </c>
      <c r="Z20">
        <f>IF(ISNUMBER(SEARCH("Adjustment",$C20)),"excluded",IF($H20="Behind the Meter","excluded",IF(NOT(OR($E20="Bundled",$E20="Energy")),"excluded",IF(OR($H20="Retail Power Marketer",$H20="Community Choice Aggregator",$E20="Energy"),"procurement",IF(OR($H20="Municipal",$H20="Cooperative",$H20="Federal",$H20="State",$H20="Political Subdivision"),"cost_service",IF($H20="Investor Owned",IF(AND(COUNTIF(Parameters!$A$4:$A$33,$G20)&gt;0,COUNTIF(Parameters!$B$4:$B$33,$B20)=0),"procurement","cost_service"),"unclassified"))))))</f>
        <v/>
      </c>
    </row>
    <row r="21">
      <c r="A21" t="n">
        <v>2024</v>
      </c>
      <c r="B21" t="n">
        <v>4622</v>
      </c>
      <c r="C21" t="inlineStr">
        <is>
          <t>Cumberland Valley Electric, Inc.</t>
        </is>
      </c>
      <c r="D21" t="inlineStr">
        <is>
          <t>A</t>
        </is>
      </c>
      <c r="E21" t="inlineStr">
        <is>
          <t>Bundled</t>
        </is>
      </c>
      <c r="F21" t="inlineStr">
        <is>
          <t>O</t>
        </is>
      </c>
      <c r="G21" t="inlineStr">
        <is>
          <t>TN</t>
        </is>
      </c>
      <c r="H21" t="inlineStr">
        <is>
          <t>Cooperative</t>
        </is>
      </c>
      <c r="I21" t="inlineStr">
        <is>
          <t>PJM</t>
        </is>
      </c>
      <c r="J21" t="n">
        <v>105</v>
      </c>
      <c r="K21" t="n">
        <v>734</v>
      </c>
      <c r="L21" t="n">
        <v>78</v>
      </c>
      <c r="M21" t="inlineStr">
        <is>
          <t>.</t>
        </is>
      </c>
      <c r="N21" t="inlineStr">
        <is>
          <t>.</t>
        </is>
      </c>
      <c r="O21" t="inlineStr">
        <is>
          <t>.</t>
        </is>
      </c>
      <c r="P21" t="inlineStr">
        <is>
          <t>.</t>
        </is>
      </c>
      <c r="Q21" t="inlineStr">
        <is>
          <t>.</t>
        </is>
      </c>
      <c r="R21" t="inlineStr">
        <is>
          <t>.</t>
        </is>
      </c>
      <c r="S21" t="inlineStr">
        <is>
          <t>.</t>
        </is>
      </c>
      <c r="T21" t="inlineStr">
        <is>
          <t>.</t>
        </is>
      </c>
      <c r="U21" t="inlineStr">
        <is>
          <t>.</t>
        </is>
      </c>
      <c r="V21" t="n">
        <v>105</v>
      </c>
      <c r="W21" t="n">
        <v>734</v>
      </c>
      <c r="X21" t="n">
        <v>78</v>
      </c>
      <c r="Y21">
        <f>IF(ISNUMBER($W21),$W21,0)</f>
        <v/>
      </c>
      <c r="Z21">
        <f>IF(ISNUMBER(SEARCH("Adjustment",$C21)),"excluded",IF($H21="Behind the Meter","excluded",IF(NOT(OR($E21="Bundled",$E21="Energy")),"excluded",IF(OR($H21="Retail Power Marketer",$H21="Community Choice Aggregator",$E21="Energy"),"procurement",IF(OR($H21="Municipal",$H21="Cooperative",$H21="Federal",$H21="State",$H21="Political Subdivision"),"cost_service",IF($H21="Investor Owned",IF(AND(COUNTIF(Parameters!$A$4:$A$33,$G21)&gt;0,COUNTIF(Parameters!$B$4:$B$33,$B21)=0),"procurement","cost_service"),"unclassified"))))))</f>
        <v/>
      </c>
    </row>
    <row r="22">
      <c r="A22" t="n">
        <v>2024</v>
      </c>
      <c r="B22" t="n">
        <v>4624</v>
      </c>
      <c r="C22" t="inlineStr">
        <is>
          <t>Cumberland Elec Member Corp</t>
        </is>
      </c>
      <c r="D22" t="inlineStr">
        <is>
          <t>A</t>
        </is>
      </c>
      <c r="E22" t="inlineStr">
        <is>
          <t>Bundled</t>
        </is>
      </c>
      <c r="F22" t="inlineStr">
        <is>
          <t>O</t>
        </is>
      </c>
      <c r="G22" t="inlineStr">
        <is>
          <t>TN</t>
        </is>
      </c>
      <c r="H22" t="inlineStr">
        <is>
          <t>Cooperative</t>
        </is>
      </c>
      <c r="I22" t="inlineStr">
        <is>
          <t>TVA</t>
        </is>
      </c>
      <c r="J22" t="n">
        <v>213610</v>
      </c>
      <c r="K22" t="n">
        <v>1643858</v>
      </c>
      <c r="L22" t="n">
        <v>100585</v>
      </c>
      <c r="M22" t="n">
        <v>73133</v>
      </c>
      <c r="N22" t="n">
        <v>565206</v>
      </c>
      <c r="O22" t="n">
        <v>11899</v>
      </c>
      <c r="P22" t="n">
        <v>45337</v>
      </c>
      <c r="Q22" t="n">
        <v>670899</v>
      </c>
      <c r="R22" t="n">
        <v>28</v>
      </c>
      <c r="S22" t="n">
        <v>0</v>
      </c>
      <c r="T22" t="n">
        <v>0</v>
      </c>
      <c r="U22" t="n">
        <v>0</v>
      </c>
      <c r="V22" t="n">
        <v>332080</v>
      </c>
      <c r="W22" t="n">
        <v>2879963</v>
      </c>
      <c r="X22" t="n">
        <v>112512</v>
      </c>
      <c r="Y22">
        <f>IF(ISNUMBER($W22),$W22,0)</f>
        <v/>
      </c>
      <c r="Z22">
        <f>IF(ISNUMBER(SEARCH("Adjustment",$C22)),"excluded",IF($H22="Behind the Meter","excluded",IF(NOT(OR($E22="Bundled",$E22="Energy")),"excluded",IF(OR($H22="Retail Power Marketer",$H22="Community Choice Aggregator",$E22="Energy"),"procurement",IF(OR($H22="Municipal",$H22="Cooperative",$H22="Federal",$H22="State",$H22="Political Subdivision"),"cost_service",IF($H22="Investor Owned",IF(AND(COUNTIF(Parameters!$A$4:$A$33,$G22)&gt;0,COUNTIF(Parameters!$B$4:$B$33,$B22)=0),"procurement","cost_service"),"unclassified"))))))</f>
        <v/>
      </c>
    </row>
    <row r="23">
      <c r="A23" t="n">
        <v>2024</v>
      </c>
      <c r="B23" t="n">
        <v>4920</v>
      </c>
      <c r="C23" t="inlineStr">
        <is>
          <t>City of Dayton - (TN)</t>
        </is>
      </c>
      <c r="D23" t="inlineStr">
        <is>
          <t>A</t>
        </is>
      </c>
      <c r="E23" t="inlineStr">
        <is>
          <t>Bundled</t>
        </is>
      </c>
      <c r="F23" t="inlineStr">
        <is>
          <t>O</t>
        </is>
      </c>
      <c r="G23" t="inlineStr">
        <is>
          <t>TN</t>
        </is>
      </c>
      <c r="H23" t="inlineStr">
        <is>
          <t>Municipal</t>
        </is>
      </c>
      <c r="I23" t="inlineStr">
        <is>
          <t>TVA</t>
        </is>
      </c>
      <c r="J23" t="n">
        <v>13972</v>
      </c>
      <c r="K23" t="n">
        <v>116633</v>
      </c>
      <c r="L23" t="n">
        <v>9053</v>
      </c>
      <c r="M23" t="n">
        <v>11635</v>
      </c>
      <c r="N23" t="n">
        <v>91097</v>
      </c>
      <c r="O23" t="n">
        <v>2356</v>
      </c>
      <c r="P23" t="n">
        <v>6054</v>
      </c>
      <c r="Q23" t="n">
        <v>91526</v>
      </c>
      <c r="R23" t="n">
        <v>5</v>
      </c>
      <c r="S23" t="n">
        <v>0</v>
      </c>
      <c r="T23" t="n">
        <v>0</v>
      </c>
      <c r="U23" t="n">
        <v>0</v>
      </c>
      <c r="V23" t="n">
        <v>31661</v>
      </c>
      <c r="W23" t="n">
        <v>299256</v>
      </c>
      <c r="X23" t="n">
        <v>11414</v>
      </c>
      <c r="Y23">
        <f>IF(ISNUMBER($W23),$W23,0)</f>
        <v/>
      </c>
      <c r="Z23">
        <f>IF(ISNUMBER(SEARCH("Adjustment",$C23)),"excluded",IF($H23="Behind the Meter","excluded",IF(NOT(OR($E23="Bundled",$E23="Energy")),"excluded",IF(OR($H23="Retail Power Marketer",$H23="Community Choice Aggregator",$E23="Energy"),"procurement",IF(OR($H23="Municipal",$H23="Cooperative",$H23="Federal",$H23="State",$H23="Political Subdivision"),"cost_service",IF($H23="Investor Owned",IF(AND(COUNTIF(Parameters!$A$4:$A$33,$G23)&gt;0,COUNTIF(Parameters!$B$4:$B$33,$B23)=0),"procurement","cost_service"),"unclassified"))))))</f>
        <v/>
      </c>
    </row>
    <row r="24">
      <c r="A24" t="n">
        <v>2024</v>
      </c>
      <c r="B24" t="n">
        <v>5148</v>
      </c>
      <c r="C24" t="inlineStr">
        <is>
          <t>City of Dickson</t>
        </is>
      </c>
      <c r="D24" t="inlineStr">
        <is>
          <t>A</t>
        </is>
      </c>
      <c r="E24" t="inlineStr">
        <is>
          <t>Bundled</t>
        </is>
      </c>
      <c r="F24" t="inlineStr">
        <is>
          <t>O</t>
        </is>
      </c>
      <c r="G24" t="inlineStr">
        <is>
          <t>TN</t>
        </is>
      </c>
      <c r="H24" t="inlineStr">
        <is>
          <t>Municipal</t>
        </is>
      </c>
      <c r="I24" t="inlineStr">
        <is>
          <t>TVA</t>
        </is>
      </c>
      <c r="J24" t="n">
        <v>53049</v>
      </c>
      <c r="K24" t="n">
        <v>455401</v>
      </c>
      <c r="L24" t="n">
        <v>30808</v>
      </c>
      <c r="M24" t="n">
        <v>31635</v>
      </c>
      <c r="N24" t="n">
        <v>252454</v>
      </c>
      <c r="O24" t="n">
        <v>8154</v>
      </c>
      <c r="P24" t="n">
        <v>11146</v>
      </c>
      <c r="Q24" t="n">
        <v>140180</v>
      </c>
      <c r="R24" t="n">
        <v>20</v>
      </c>
      <c r="S24" t="n">
        <v>0</v>
      </c>
      <c r="T24" t="n">
        <v>0</v>
      </c>
      <c r="U24" t="n">
        <v>0</v>
      </c>
      <c r="V24" t="n">
        <v>95830</v>
      </c>
      <c r="W24" t="n">
        <v>848035</v>
      </c>
      <c r="X24" t="n">
        <v>38982</v>
      </c>
      <c r="Y24">
        <f>IF(ISNUMBER($W24),$W24,0)</f>
        <v/>
      </c>
      <c r="Z24">
        <f>IF(ISNUMBER(SEARCH("Adjustment",$C24)),"excluded",IF($H24="Behind the Meter","excluded",IF(NOT(OR($E24="Bundled",$E24="Energy")),"excluded",IF(OR($H24="Retail Power Marketer",$H24="Community Choice Aggregator",$E24="Energy"),"procurement",IF(OR($H24="Municipal",$H24="Cooperative",$H24="Federal",$H24="State",$H24="Political Subdivision"),"cost_service",IF($H24="Investor Owned",IF(AND(COUNTIF(Parameters!$A$4:$A$33,$G24)&gt;0,COUNTIF(Parameters!$B$4:$B$33,$B24)=0),"procurement","cost_service"),"unclassified"))))))</f>
        <v/>
      </c>
    </row>
    <row r="25">
      <c r="A25" t="n">
        <v>2024</v>
      </c>
      <c r="B25" t="n">
        <v>5399</v>
      </c>
      <c r="C25" t="inlineStr">
        <is>
          <t>Duck River Elec Member Corp</t>
        </is>
      </c>
      <c r="D25" t="inlineStr">
        <is>
          <t>A</t>
        </is>
      </c>
      <c r="E25" t="inlineStr">
        <is>
          <t>Bundled</t>
        </is>
      </c>
      <c r="F25" t="inlineStr">
        <is>
          <t>O</t>
        </is>
      </c>
      <c r="G25" t="inlineStr">
        <is>
          <t>TN</t>
        </is>
      </c>
      <c r="H25" t="inlineStr">
        <is>
          <t>Cooperative</t>
        </is>
      </c>
      <c r="I25" t="inlineStr">
        <is>
          <t>TVA</t>
        </is>
      </c>
      <c r="J25" t="n">
        <v>144303</v>
      </c>
      <c r="K25" t="n">
        <v>1154607</v>
      </c>
      <c r="L25" t="n">
        <v>71342</v>
      </c>
      <c r="M25" t="n">
        <v>70285</v>
      </c>
      <c r="N25" t="n">
        <v>525914</v>
      </c>
      <c r="O25" t="n">
        <v>13828</v>
      </c>
      <c r="P25" t="n">
        <v>19466</v>
      </c>
      <c r="Q25" t="n">
        <v>282324</v>
      </c>
      <c r="R25" t="n">
        <v>15</v>
      </c>
      <c r="S25" t="n">
        <v>0</v>
      </c>
      <c r="T25" t="n">
        <v>0</v>
      </c>
      <c r="U25" t="n">
        <v>0</v>
      </c>
      <c r="V25" t="n">
        <v>234054</v>
      </c>
      <c r="W25" t="n">
        <v>1962845</v>
      </c>
      <c r="X25" t="n">
        <v>85185</v>
      </c>
      <c r="Y25">
        <f>IF(ISNUMBER($W25),$W25,0)</f>
        <v/>
      </c>
      <c r="Z25">
        <f>IF(ISNUMBER(SEARCH("Adjustment",$C25)),"excluded",IF($H25="Behind the Meter","excluded",IF(NOT(OR($E25="Bundled",$E25="Energy")),"excluded",IF(OR($H25="Retail Power Marketer",$H25="Community Choice Aggregator",$E25="Energy"),"procurement",IF(OR($H25="Municipal",$H25="Cooperative",$H25="Federal",$H25="State",$H25="Political Subdivision"),"cost_service",IF($H25="Investor Owned",IF(AND(COUNTIF(Parameters!$A$4:$A$33,$G25)&gt;0,COUNTIF(Parameters!$B$4:$B$33,$B25)=0),"procurement","cost_service"),"unclassified"))))))</f>
        <v/>
      </c>
    </row>
    <row r="26">
      <c r="A26" t="n">
        <v>2024</v>
      </c>
      <c r="B26" t="n">
        <v>5509</v>
      </c>
      <c r="C26" t="inlineStr">
        <is>
          <t>City of Dyersburg</t>
        </is>
      </c>
      <c r="D26" t="inlineStr">
        <is>
          <t>A</t>
        </is>
      </c>
      <c r="E26" t="inlineStr">
        <is>
          <t>Bundled</t>
        </is>
      </c>
      <c r="F26" t="inlineStr">
        <is>
          <t>O</t>
        </is>
      </c>
      <c r="G26" t="inlineStr">
        <is>
          <t>TN</t>
        </is>
      </c>
      <c r="H26" t="inlineStr">
        <is>
          <t>Municipal</t>
        </is>
      </c>
      <c r="I26" t="inlineStr">
        <is>
          <t>TVA</t>
        </is>
      </c>
      <c r="J26" t="n">
        <v>14465</v>
      </c>
      <c r="K26" t="n">
        <v>129756</v>
      </c>
      <c r="L26" t="n">
        <v>9475</v>
      </c>
      <c r="M26" t="n">
        <v>15951</v>
      </c>
      <c r="N26" t="n">
        <v>138532</v>
      </c>
      <c r="O26" t="n">
        <v>2590</v>
      </c>
      <c r="P26" t="n">
        <v>7554</v>
      </c>
      <c r="Q26" t="n">
        <v>104658</v>
      </c>
      <c r="R26" t="n">
        <v>10</v>
      </c>
      <c r="S26" t="n">
        <v>0</v>
      </c>
      <c r="T26" t="n">
        <v>0</v>
      </c>
      <c r="U26" t="n">
        <v>0</v>
      </c>
      <c r="V26" t="n">
        <v>37970</v>
      </c>
      <c r="W26" t="n">
        <v>372946</v>
      </c>
      <c r="X26" t="n">
        <v>12075</v>
      </c>
      <c r="Y26">
        <f>IF(ISNUMBER($W26),$W26,0)</f>
        <v/>
      </c>
      <c r="Z26">
        <f>IF(ISNUMBER(SEARCH("Adjustment",$C26)),"excluded",IF($H26="Behind the Meter","excluded",IF(NOT(OR($E26="Bundled",$E26="Energy")),"excluded",IF(OR($H26="Retail Power Marketer",$H26="Community Choice Aggregator",$E26="Energy"),"procurement",IF(OR($H26="Municipal",$H26="Cooperative",$H26="Federal",$H26="State",$H26="Political Subdivision"),"cost_service",IF($H26="Investor Owned",IF(AND(COUNTIF(Parameters!$A$4:$A$33,$G26)&gt;0,COUNTIF(Parameters!$B$4:$B$33,$B26)=0),"procurement","cost_service"),"unclassified"))))))</f>
        <v/>
      </c>
    </row>
    <row r="27">
      <c r="A27" t="n">
        <v>2024</v>
      </c>
      <c r="B27" t="n">
        <v>5763</v>
      </c>
      <c r="C27" t="inlineStr">
        <is>
          <t>City of Elizabethton - (TN)</t>
        </is>
      </c>
      <c r="D27" t="inlineStr">
        <is>
          <t>A</t>
        </is>
      </c>
      <c r="E27" t="inlineStr">
        <is>
          <t>Bundled</t>
        </is>
      </c>
      <c r="F27" t="inlineStr">
        <is>
          <t>O</t>
        </is>
      </c>
      <c r="G27" t="inlineStr">
        <is>
          <t>TN</t>
        </is>
      </c>
      <c r="H27" t="inlineStr">
        <is>
          <t>Municipal</t>
        </is>
      </c>
      <c r="I27" t="inlineStr">
        <is>
          <t>TVA</t>
        </is>
      </c>
      <c r="J27" t="n">
        <v>37469</v>
      </c>
      <c r="K27" t="n">
        <v>317055</v>
      </c>
      <c r="L27" t="n">
        <v>23344</v>
      </c>
      <c r="M27" t="n">
        <v>18845</v>
      </c>
      <c r="N27" t="n">
        <v>162229</v>
      </c>
      <c r="O27" t="n">
        <v>3707</v>
      </c>
      <c r="P27" t="n">
        <v>2488</v>
      </c>
      <c r="Q27" t="n">
        <v>33605</v>
      </c>
      <c r="R27" t="n">
        <v>2</v>
      </c>
      <c r="S27" t="n">
        <v>0</v>
      </c>
      <c r="T27" t="n">
        <v>0</v>
      </c>
      <c r="U27" t="n">
        <v>0</v>
      </c>
      <c r="V27" t="n">
        <v>58802</v>
      </c>
      <c r="W27" t="n">
        <v>512889</v>
      </c>
      <c r="X27" t="n">
        <v>27053</v>
      </c>
      <c r="Y27">
        <f>IF(ISNUMBER($W27),$W27,0)</f>
        <v/>
      </c>
      <c r="Z27">
        <f>IF(ISNUMBER(SEARCH("Adjustment",$C27)),"excluded",IF($H27="Behind the Meter","excluded",IF(NOT(OR($E27="Bundled",$E27="Energy")),"excluded",IF(OR($H27="Retail Power Marketer",$H27="Community Choice Aggregator",$E27="Energy"),"procurement",IF(OR($H27="Municipal",$H27="Cooperative",$H27="Federal",$H27="State",$H27="Political Subdivision"),"cost_service",IF($H27="Investor Owned",IF(AND(COUNTIF(Parameters!$A$4:$A$33,$G27)&gt;0,COUNTIF(Parameters!$B$4:$B$33,$B27)=0),"procurement","cost_service"),"unclassified"))))))</f>
        <v/>
      </c>
    </row>
    <row r="28">
      <c r="A28" t="n">
        <v>2024</v>
      </c>
      <c r="B28" t="n">
        <v>5961</v>
      </c>
      <c r="C28" t="inlineStr">
        <is>
          <t>Town of Erwin - (TN)</t>
        </is>
      </c>
      <c r="D28" t="inlineStr">
        <is>
          <t>A</t>
        </is>
      </c>
      <c r="E28" t="inlineStr">
        <is>
          <t>Bundled</t>
        </is>
      </c>
      <c r="F28" t="inlineStr">
        <is>
          <t>O</t>
        </is>
      </c>
      <c r="G28" t="inlineStr">
        <is>
          <t>TN</t>
        </is>
      </c>
      <c r="H28" t="inlineStr">
        <is>
          <t>Municipal</t>
        </is>
      </c>
      <c r="I28" t="inlineStr">
        <is>
          <t>TVA</t>
        </is>
      </c>
      <c r="J28" t="n">
        <v>11330</v>
      </c>
      <c r="K28" t="n">
        <v>92620</v>
      </c>
      <c r="L28" t="n">
        <v>7618</v>
      </c>
      <c r="M28" t="n">
        <v>7014</v>
      </c>
      <c r="N28" t="n">
        <v>53274</v>
      </c>
      <c r="O28" t="n">
        <v>1387</v>
      </c>
      <c r="P28" t="n">
        <v>3790</v>
      </c>
      <c r="Q28" t="n">
        <v>46257</v>
      </c>
      <c r="R28" t="n">
        <v>3</v>
      </c>
      <c r="S28" t="n">
        <v>0</v>
      </c>
      <c r="T28" t="n">
        <v>0</v>
      </c>
      <c r="U28" t="n">
        <v>0</v>
      </c>
      <c r="V28" t="n">
        <v>22134</v>
      </c>
      <c r="W28" t="n">
        <v>192151</v>
      </c>
      <c r="X28" t="n">
        <v>9008</v>
      </c>
      <c r="Y28">
        <f>IF(ISNUMBER($W28),$W28,0)</f>
        <v/>
      </c>
      <c r="Z28">
        <f>IF(ISNUMBER(SEARCH("Adjustment",$C28)),"excluded",IF($H28="Behind the Meter","excluded",IF(NOT(OR($E28="Bundled",$E28="Energy")),"excluded",IF(OR($H28="Retail Power Marketer",$H28="Community Choice Aggregator",$E28="Energy"),"procurement",IF(OR($H28="Municipal",$H28="Cooperative",$H28="Federal",$H28="State",$H28="Political Subdivision"),"cost_service",IF($H28="Investor Owned",IF(AND(COUNTIF(Parameters!$A$4:$A$33,$G28)&gt;0,COUNTIF(Parameters!$B$4:$B$33,$B28)=0),"procurement","cost_service"),"unclassified"))))))</f>
        <v/>
      </c>
    </row>
    <row r="29">
      <c r="A29" t="n">
        <v>2024</v>
      </c>
      <c r="B29" t="n">
        <v>6008</v>
      </c>
      <c r="C29" t="inlineStr">
        <is>
          <t>City of Etowah</t>
        </is>
      </c>
      <c r="D29" t="inlineStr">
        <is>
          <t>A</t>
        </is>
      </c>
      <c r="E29" t="inlineStr">
        <is>
          <t>Bundled</t>
        </is>
      </c>
      <c r="F29" t="inlineStr">
        <is>
          <t>O</t>
        </is>
      </c>
      <c r="G29" t="inlineStr">
        <is>
          <t>TN</t>
        </is>
      </c>
      <c r="H29" t="inlineStr">
        <is>
          <t>Municipal</t>
        </is>
      </c>
      <c r="I29" t="inlineStr">
        <is>
          <t>TVA</t>
        </is>
      </c>
      <c r="J29" t="n">
        <v>8252</v>
      </c>
      <c r="K29" t="n">
        <v>60613</v>
      </c>
      <c r="L29" t="n">
        <v>4443</v>
      </c>
      <c r="M29" t="n">
        <v>3974</v>
      </c>
      <c r="N29" t="n">
        <v>27440</v>
      </c>
      <c r="O29" t="n">
        <v>916</v>
      </c>
      <c r="P29" t="n">
        <v>4518</v>
      </c>
      <c r="Q29" t="n">
        <v>72728</v>
      </c>
      <c r="R29" t="n">
        <v>1</v>
      </c>
      <c r="S29" t="n">
        <v>0</v>
      </c>
      <c r="T29" t="n">
        <v>0</v>
      </c>
      <c r="U29" t="n">
        <v>0</v>
      </c>
      <c r="V29" t="n">
        <v>16744</v>
      </c>
      <c r="W29" t="n">
        <v>160781</v>
      </c>
      <c r="X29" t="n">
        <v>5360</v>
      </c>
      <c r="Y29">
        <f>IF(ISNUMBER($W29),$W29,0)</f>
        <v/>
      </c>
      <c r="Z29">
        <f>IF(ISNUMBER(SEARCH("Adjustment",$C29)),"excluded",IF($H29="Behind the Meter","excluded",IF(NOT(OR($E29="Bundled",$E29="Energy")),"excluded",IF(OR($H29="Retail Power Marketer",$H29="Community Choice Aggregator",$E29="Energy"),"procurement",IF(OR($H29="Municipal",$H29="Cooperative",$H29="Federal",$H29="State",$H29="Political Subdivision"),"cost_service",IF($H29="Investor Owned",IF(AND(COUNTIF(Parameters!$A$4:$A$33,$G29)&gt;0,COUNTIF(Parameters!$B$4:$B$33,$B29)=0),"procurement","cost_service"),"unclassified"))))))</f>
        <v/>
      </c>
    </row>
    <row r="30">
      <c r="A30" t="n">
        <v>2024</v>
      </c>
      <c r="B30" t="n">
        <v>6234</v>
      </c>
      <c r="C30" t="inlineStr">
        <is>
          <t>City of Fayetteville</t>
        </is>
      </c>
      <c r="D30" t="inlineStr">
        <is>
          <t>A</t>
        </is>
      </c>
      <c r="E30" t="inlineStr">
        <is>
          <t>Bundled</t>
        </is>
      </c>
      <c r="F30" t="inlineStr">
        <is>
          <t>O</t>
        </is>
      </c>
      <c r="G30" t="inlineStr">
        <is>
          <t>TN</t>
        </is>
      </c>
      <c r="H30" t="inlineStr">
        <is>
          <t>Municipal</t>
        </is>
      </c>
      <c r="I30" t="inlineStr">
        <is>
          <t>TVA</t>
        </is>
      </c>
      <c r="J30" t="n">
        <v>30361</v>
      </c>
      <c r="K30" t="n">
        <v>254558</v>
      </c>
      <c r="L30" t="n">
        <v>16667</v>
      </c>
      <c r="M30" t="n">
        <v>16495</v>
      </c>
      <c r="N30" t="n">
        <v>125196</v>
      </c>
      <c r="O30" t="n">
        <v>2793</v>
      </c>
      <c r="P30" t="n">
        <v>6202</v>
      </c>
      <c r="Q30" t="n">
        <v>95041</v>
      </c>
      <c r="R30" t="n">
        <v>5</v>
      </c>
      <c r="S30" t="n">
        <v>0</v>
      </c>
      <c r="T30" t="n">
        <v>0</v>
      </c>
      <c r="U30" t="n">
        <v>0</v>
      </c>
      <c r="V30" t="n">
        <v>53058</v>
      </c>
      <c r="W30" t="n">
        <v>474795</v>
      </c>
      <c r="X30" t="n">
        <v>19465</v>
      </c>
      <c r="Y30">
        <f>IF(ISNUMBER($W30),$W30,0)</f>
        <v/>
      </c>
      <c r="Z30">
        <f>IF(ISNUMBER(SEARCH("Adjustment",$C30)),"excluded",IF($H30="Behind the Meter","excluded",IF(NOT(OR($E30="Bundled",$E30="Energy")),"excluded",IF(OR($H30="Retail Power Marketer",$H30="Community Choice Aggregator",$E30="Energy"),"procurement",IF(OR($H30="Municipal",$H30="Cooperative",$H30="Federal",$H30="State",$H30="Political Subdivision"),"cost_service",IF($H30="Investor Owned",IF(AND(COUNTIF(Parameters!$A$4:$A$33,$G30)&gt;0,COUNTIF(Parameters!$B$4:$B$33,$B30)=0),"procurement","cost_service"),"unclassified"))))))</f>
        <v/>
      </c>
    </row>
    <row r="31">
      <c r="A31" t="n">
        <v>2024</v>
      </c>
      <c r="B31" t="n">
        <v>6608</v>
      </c>
      <c r="C31" t="inlineStr">
        <is>
          <t>Fort Loudoun Electric Coop</t>
        </is>
      </c>
      <c r="D31" t="inlineStr">
        <is>
          <t>A</t>
        </is>
      </c>
      <c r="E31" t="inlineStr">
        <is>
          <t>Bundled</t>
        </is>
      </c>
      <c r="F31" t="inlineStr">
        <is>
          <t>O</t>
        </is>
      </c>
      <c r="G31" t="inlineStr">
        <is>
          <t>TN</t>
        </is>
      </c>
      <c r="H31" t="inlineStr">
        <is>
          <t>Cooperative</t>
        </is>
      </c>
      <c r="I31" t="inlineStr">
        <is>
          <t>TVA</t>
        </is>
      </c>
      <c r="J31" t="n">
        <v>59487</v>
      </c>
      <c r="K31" t="n">
        <v>491103</v>
      </c>
      <c r="L31" t="n">
        <v>30527</v>
      </c>
      <c r="M31" t="n">
        <v>19706</v>
      </c>
      <c r="N31" t="n">
        <v>145628</v>
      </c>
      <c r="O31" t="n">
        <v>5756</v>
      </c>
      <c r="P31" t="n">
        <v>3722</v>
      </c>
      <c r="Q31" t="n">
        <v>46817</v>
      </c>
      <c r="R31" t="n">
        <v>4</v>
      </c>
      <c r="S31" t="n">
        <v>0</v>
      </c>
      <c r="T31" t="n">
        <v>0</v>
      </c>
      <c r="U31" t="n">
        <v>0</v>
      </c>
      <c r="V31" t="n">
        <v>82915</v>
      </c>
      <c r="W31" t="n">
        <v>683548</v>
      </c>
      <c r="X31" t="n">
        <v>36287</v>
      </c>
      <c r="Y31">
        <f>IF(ISNUMBER($W31),$W31,0)</f>
        <v/>
      </c>
      <c r="Z31">
        <f>IF(ISNUMBER(SEARCH("Adjustment",$C31)),"excluded",IF($H31="Behind the Meter","excluded",IF(NOT(OR($E31="Bundled",$E31="Energy")),"excluded",IF(OR($H31="Retail Power Marketer",$H31="Community Choice Aggregator",$E31="Energy"),"procurement",IF(OR($H31="Municipal",$H31="Cooperative",$H31="Federal",$H31="State",$H31="Political Subdivision"),"cost_service",IF($H31="Investor Owned",IF(AND(COUNTIF(Parameters!$A$4:$A$33,$G31)&gt;0,COUNTIF(Parameters!$B$4:$B$33,$B31)=0),"procurement","cost_service"),"unclassified"))))))</f>
        <v/>
      </c>
    </row>
    <row r="32">
      <c r="A32" t="n">
        <v>2024</v>
      </c>
      <c r="B32" t="n">
        <v>6784</v>
      </c>
      <c r="C32" t="inlineStr">
        <is>
          <t>French Broad Elec Member Corp</t>
        </is>
      </c>
      <c r="D32" t="inlineStr">
        <is>
          <t>A</t>
        </is>
      </c>
      <c r="E32" t="inlineStr">
        <is>
          <t>Bundled</t>
        </is>
      </c>
      <c r="F32" t="inlineStr">
        <is>
          <t>O</t>
        </is>
      </c>
      <c r="G32" t="inlineStr">
        <is>
          <t>TN</t>
        </is>
      </c>
      <c r="H32" t="inlineStr">
        <is>
          <t>Cooperative</t>
        </is>
      </c>
      <c r="I32" t="inlineStr">
        <is>
          <t>TVA</t>
        </is>
      </c>
      <c r="J32" t="n">
        <v>1326.9</v>
      </c>
      <c r="K32" t="n">
        <v>8898</v>
      </c>
      <c r="L32" t="n">
        <v>994</v>
      </c>
      <c r="M32" t="n">
        <v>116.7</v>
      </c>
      <c r="N32" t="n">
        <v>810</v>
      </c>
      <c r="O32" t="n">
        <v>76</v>
      </c>
      <c r="P32" t="inlineStr">
        <is>
          <t>.</t>
        </is>
      </c>
      <c r="Q32" t="inlineStr">
        <is>
          <t>.</t>
        </is>
      </c>
      <c r="R32" t="inlineStr">
        <is>
          <t>.</t>
        </is>
      </c>
      <c r="S32" t="inlineStr">
        <is>
          <t>.</t>
        </is>
      </c>
      <c r="T32" t="inlineStr">
        <is>
          <t>.</t>
        </is>
      </c>
      <c r="U32" t="inlineStr">
        <is>
          <t>.</t>
        </is>
      </c>
      <c r="V32" t="n">
        <v>1443.6</v>
      </c>
      <c r="W32" t="n">
        <v>9708</v>
      </c>
      <c r="X32" t="n">
        <v>1070</v>
      </c>
      <c r="Y32">
        <f>IF(ISNUMBER($W32),$W32,0)</f>
        <v/>
      </c>
      <c r="Z32">
        <f>IF(ISNUMBER(SEARCH("Adjustment",$C32)),"excluded",IF($H32="Behind the Meter","excluded",IF(NOT(OR($E32="Bundled",$E32="Energy")),"excluded",IF(OR($H32="Retail Power Marketer",$H32="Community Choice Aggregator",$E32="Energy"),"procurement",IF(OR($H32="Municipal",$H32="Cooperative",$H32="Federal",$H32="State",$H32="Political Subdivision"),"cost_service",IF($H32="Investor Owned",IF(AND(COUNTIF(Parameters!$A$4:$A$33,$G32)&gt;0,COUNTIF(Parameters!$B$4:$B$33,$B32)=0),"procurement","cost_service"),"unclassified"))))))</f>
        <v/>
      </c>
    </row>
    <row r="33">
      <c r="A33" t="n">
        <v>2024</v>
      </c>
      <c r="B33" t="n">
        <v>6923</v>
      </c>
      <c r="C33" t="inlineStr">
        <is>
          <t>City of Gallatin - (TN)</t>
        </is>
      </c>
      <c r="D33" t="inlineStr">
        <is>
          <t>A</t>
        </is>
      </c>
      <c r="E33" t="inlineStr">
        <is>
          <t>Bundled</t>
        </is>
      </c>
      <c r="F33" t="inlineStr">
        <is>
          <t>O</t>
        </is>
      </c>
      <c r="G33" t="inlineStr">
        <is>
          <t>TN</t>
        </is>
      </c>
      <c r="H33" t="inlineStr">
        <is>
          <t>Municipal</t>
        </is>
      </c>
      <c r="I33" t="inlineStr">
        <is>
          <t>TVA</t>
        </is>
      </c>
      <c r="J33" t="n">
        <v>33853</v>
      </c>
      <c r="K33" t="n">
        <v>287320</v>
      </c>
      <c r="L33" t="n">
        <v>23204</v>
      </c>
      <c r="M33" t="n">
        <v>33467</v>
      </c>
      <c r="N33" t="n">
        <v>316944</v>
      </c>
      <c r="O33" t="n">
        <v>3749</v>
      </c>
      <c r="P33" t="n">
        <v>10869</v>
      </c>
      <c r="Q33" t="n">
        <v>192056</v>
      </c>
      <c r="R33" t="n">
        <v>10</v>
      </c>
      <c r="S33" t="n">
        <v>0</v>
      </c>
      <c r="T33" t="n">
        <v>0</v>
      </c>
      <c r="U33" t="n">
        <v>0</v>
      </c>
      <c r="V33" t="n">
        <v>78189</v>
      </c>
      <c r="W33" t="n">
        <v>796320</v>
      </c>
      <c r="X33" t="n">
        <v>26963</v>
      </c>
      <c r="Y33">
        <f>IF(ISNUMBER($W33),$W33,0)</f>
        <v/>
      </c>
      <c r="Z33">
        <f>IF(ISNUMBER(SEARCH("Adjustment",$C33)),"excluded",IF($H33="Behind the Meter","excluded",IF(NOT(OR($E33="Bundled",$E33="Energy")),"excluded",IF(OR($H33="Retail Power Marketer",$H33="Community Choice Aggregator",$E33="Energy"),"procurement",IF(OR($H33="Municipal",$H33="Cooperative",$H33="Federal",$H33="State",$H33="Political Subdivision"),"cost_service",IF($H33="Investor Owned",IF(AND(COUNTIF(Parameters!$A$4:$A$33,$G33)&gt;0,COUNTIF(Parameters!$B$4:$B$33,$B33)=0),"procurement","cost_service"),"unclassified"))))))</f>
        <v/>
      </c>
    </row>
    <row r="34">
      <c r="A34" t="n">
        <v>2024</v>
      </c>
      <c r="B34" t="n">
        <v>7174</v>
      </c>
      <c r="C34" t="inlineStr">
        <is>
          <t>Gibson Electric Members Corp</t>
        </is>
      </c>
      <c r="D34" t="inlineStr">
        <is>
          <t>A</t>
        </is>
      </c>
      <c r="E34" t="inlineStr">
        <is>
          <t>Bundled</t>
        </is>
      </c>
      <c r="F34" t="inlineStr">
        <is>
          <t>O</t>
        </is>
      </c>
      <c r="G34" t="inlineStr">
        <is>
          <t>TN</t>
        </is>
      </c>
      <c r="H34" t="inlineStr">
        <is>
          <t>Cooperative</t>
        </is>
      </c>
      <c r="I34" t="inlineStr">
        <is>
          <t>TVA</t>
        </is>
      </c>
      <c r="J34" t="n">
        <v>58567</v>
      </c>
      <c r="K34" t="n">
        <v>450469</v>
      </c>
      <c r="L34" t="n">
        <v>29331</v>
      </c>
      <c r="M34" t="n">
        <v>27632</v>
      </c>
      <c r="N34" t="n">
        <v>215316</v>
      </c>
      <c r="O34" t="n">
        <v>6508</v>
      </c>
      <c r="P34" t="n">
        <v>10281</v>
      </c>
      <c r="Q34" t="n">
        <v>156161</v>
      </c>
      <c r="R34" t="n">
        <v>8</v>
      </c>
      <c r="S34" t="n">
        <v>0</v>
      </c>
      <c r="T34" t="n">
        <v>0</v>
      </c>
      <c r="U34" t="n">
        <v>0</v>
      </c>
      <c r="V34" t="n">
        <v>96480</v>
      </c>
      <c r="W34" t="n">
        <v>821946</v>
      </c>
      <c r="X34" t="n">
        <v>35847</v>
      </c>
      <c r="Y34">
        <f>IF(ISNUMBER($W34),$W34,0)</f>
        <v/>
      </c>
      <c r="Z34">
        <f>IF(ISNUMBER(SEARCH("Adjustment",$C34)),"excluded",IF($H34="Behind the Meter","excluded",IF(NOT(OR($E34="Bundled",$E34="Energy")),"excluded",IF(OR($H34="Retail Power Marketer",$H34="Community Choice Aggregator",$E34="Energy"),"procurement",IF(OR($H34="Municipal",$H34="Cooperative",$H34="Federal",$H34="State",$H34="Political Subdivision"),"cost_service",IF($H34="Investor Owned",IF(AND(COUNTIF(Parameters!$A$4:$A$33,$G34)&gt;0,COUNTIF(Parameters!$B$4:$B$33,$B34)=0),"procurement","cost_service"),"unclassified"))))))</f>
        <v/>
      </c>
    </row>
    <row r="35">
      <c r="A35" t="n">
        <v>2024</v>
      </c>
      <c r="B35" t="n">
        <v>7625</v>
      </c>
      <c r="C35" t="inlineStr">
        <is>
          <t>City of Greeneville - (TN)</t>
        </is>
      </c>
      <c r="D35" t="inlineStr">
        <is>
          <t>A</t>
        </is>
      </c>
      <c r="E35" t="inlineStr">
        <is>
          <t>Bundled</t>
        </is>
      </c>
      <c r="F35" t="inlineStr">
        <is>
          <t>O</t>
        </is>
      </c>
      <c r="G35" t="inlineStr">
        <is>
          <t>TN</t>
        </is>
      </c>
      <c r="H35" t="inlineStr">
        <is>
          <t>Municipal</t>
        </is>
      </c>
      <c r="I35" t="inlineStr">
        <is>
          <t>TVA</t>
        </is>
      </c>
      <c r="J35" t="n">
        <v>55921</v>
      </c>
      <c r="K35" t="n">
        <v>469925</v>
      </c>
      <c r="L35" t="n">
        <v>32388</v>
      </c>
      <c r="M35" t="n">
        <v>36709</v>
      </c>
      <c r="N35" t="n">
        <v>291839</v>
      </c>
      <c r="O35" t="n">
        <v>8163</v>
      </c>
      <c r="P35" t="n">
        <v>21958</v>
      </c>
      <c r="Q35" t="n">
        <v>337182</v>
      </c>
      <c r="R35" t="n">
        <v>18</v>
      </c>
      <c r="S35" t="n">
        <v>0</v>
      </c>
      <c r="T35" t="n">
        <v>0</v>
      </c>
      <c r="U35" t="n">
        <v>0</v>
      </c>
      <c r="V35" t="n">
        <v>114588</v>
      </c>
      <c r="W35" t="n">
        <v>1098946</v>
      </c>
      <c r="X35" t="n">
        <v>40569</v>
      </c>
      <c r="Y35">
        <f>IF(ISNUMBER($W35),$W35,0)</f>
        <v/>
      </c>
      <c r="Z35">
        <f>IF(ISNUMBER(SEARCH("Adjustment",$C35)),"excluded",IF($H35="Behind the Meter","excluded",IF(NOT(OR($E35="Bundled",$E35="Energy")),"excluded",IF(OR($H35="Retail Power Marketer",$H35="Community Choice Aggregator",$E35="Energy"),"procurement",IF(OR($H35="Municipal",$H35="Cooperative",$H35="Federal",$H35="State",$H35="Political Subdivision"),"cost_service",IF($H35="Investor Owned",IF(AND(COUNTIF(Parameters!$A$4:$A$33,$G35)&gt;0,COUNTIF(Parameters!$B$4:$B$33,$B35)=0),"procurement","cost_service"),"unclassified"))))))</f>
        <v/>
      </c>
    </row>
    <row r="36">
      <c r="A36" t="n">
        <v>2024</v>
      </c>
      <c r="B36" t="n">
        <v>8147</v>
      </c>
      <c r="C36" t="inlineStr">
        <is>
          <t>City of Harriman - (TN)</t>
        </is>
      </c>
      <c r="D36" t="inlineStr">
        <is>
          <t>A</t>
        </is>
      </c>
      <c r="E36" t="inlineStr">
        <is>
          <t>Bundled</t>
        </is>
      </c>
      <c r="F36" t="inlineStr">
        <is>
          <t>O</t>
        </is>
      </c>
      <c r="G36" t="inlineStr">
        <is>
          <t>TN</t>
        </is>
      </c>
      <c r="H36" t="inlineStr">
        <is>
          <t>Municipal</t>
        </is>
      </c>
      <c r="I36" t="inlineStr">
        <is>
          <t>TVA</t>
        </is>
      </c>
      <c r="J36" t="n">
        <v>16662</v>
      </c>
      <c r="K36" t="n">
        <v>123988</v>
      </c>
      <c r="L36" t="n">
        <v>9335</v>
      </c>
      <c r="M36" t="n">
        <v>9435</v>
      </c>
      <c r="N36" t="n">
        <v>63606</v>
      </c>
      <c r="O36" t="n">
        <v>1986</v>
      </c>
      <c r="P36" t="n">
        <v>3478</v>
      </c>
      <c r="Q36" t="n">
        <v>68619</v>
      </c>
      <c r="R36" t="n">
        <v>1</v>
      </c>
      <c r="S36" t="n">
        <v>0</v>
      </c>
      <c r="T36" t="n">
        <v>0</v>
      </c>
      <c r="U36" t="n">
        <v>0</v>
      </c>
      <c r="V36" t="n">
        <v>29575</v>
      </c>
      <c r="W36" t="n">
        <v>256213</v>
      </c>
      <c r="X36" t="n">
        <v>11322</v>
      </c>
      <c r="Y36">
        <f>IF(ISNUMBER($W36),$W36,0)</f>
        <v/>
      </c>
      <c r="Z36">
        <f>IF(ISNUMBER(SEARCH("Adjustment",$C36)),"excluded",IF($H36="Behind the Meter","excluded",IF(NOT(OR($E36="Bundled",$E36="Energy")),"excluded",IF(OR($H36="Retail Power Marketer",$H36="Community Choice Aggregator",$E36="Energy"),"procurement",IF(OR($H36="Municipal",$H36="Cooperative",$H36="Federal",$H36="State",$H36="Political Subdivision"),"cost_service",IF($H36="Investor Owned",IF(AND(COUNTIF(Parameters!$A$4:$A$33,$G36)&gt;0,COUNTIF(Parameters!$B$4:$B$33,$B36)=0),"procurement","cost_service"),"unclassified"))))))</f>
        <v/>
      </c>
    </row>
    <row r="37">
      <c r="A37" t="n">
        <v>2024</v>
      </c>
      <c r="B37" t="n">
        <v>8764</v>
      </c>
      <c r="C37" t="inlineStr">
        <is>
          <t>Holston Electric Coop, Inc</t>
        </is>
      </c>
      <c r="D37" t="inlineStr">
        <is>
          <t>A</t>
        </is>
      </c>
      <c r="E37" t="inlineStr">
        <is>
          <t>Bundled</t>
        </is>
      </c>
      <c r="F37" t="inlineStr">
        <is>
          <t>O</t>
        </is>
      </c>
      <c r="G37" t="inlineStr">
        <is>
          <t>TN</t>
        </is>
      </c>
      <c r="H37" t="inlineStr">
        <is>
          <t>Cooperative</t>
        </is>
      </c>
      <c r="I37" t="inlineStr">
        <is>
          <t>TVA</t>
        </is>
      </c>
      <c r="J37" t="n">
        <v>46877</v>
      </c>
      <c r="K37" t="n">
        <v>359154</v>
      </c>
      <c r="L37" t="n">
        <v>25773</v>
      </c>
      <c r="M37" t="n">
        <v>20856</v>
      </c>
      <c r="N37" t="n">
        <v>145281</v>
      </c>
      <c r="O37" t="n">
        <v>6698</v>
      </c>
      <c r="P37" t="n">
        <v>19513</v>
      </c>
      <c r="Q37" t="n">
        <v>269667</v>
      </c>
      <c r="R37" t="n">
        <v>16</v>
      </c>
      <c r="S37" t="n">
        <v>0</v>
      </c>
      <c r="T37" t="n">
        <v>0</v>
      </c>
      <c r="U37" t="n">
        <v>0</v>
      </c>
      <c r="V37" t="n">
        <v>87246</v>
      </c>
      <c r="W37" t="n">
        <v>774102</v>
      </c>
      <c r="X37" t="n">
        <v>32487</v>
      </c>
      <c r="Y37">
        <f>IF(ISNUMBER($W37),$W37,0)</f>
        <v/>
      </c>
      <c r="Z37">
        <f>IF(ISNUMBER(SEARCH("Adjustment",$C37)),"excluded",IF($H37="Behind the Meter","excluded",IF(NOT(OR($E37="Bundled",$E37="Energy")),"excluded",IF(OR($H37="Retail Power Marketer",$H37="Community Choice Aggregator",$E37="Energy"),"procurement",IF(OR($H37="Municipal",$H37="Cooperative",$H37="Federal",$H37="State",$H37="Political Subdivision"),"cost_service",IF($H37="Investor Owned",IF(AND(COUNTIF(Parameters!$A$4:$A$33,$G37)&gt;0,COUNTIF(Parameters!$B$4:$B$33,$B37)=0),"procurement","cost_service"),"unclassified"))))))</f>
        <v/>
      </c>
    </row>
    <row r="38">
      <c r="A38" t="n">
        <v>2024</v>
      </c>
      <c r="B38" t="n">
        <v>9023</v>
      </c>
      <c r="C38" t="inlineStr">
        <is>
          <t>City of Humboldt</t>
        </is>
      </c>
      <c r="D38" t="inlineStr">
        <is>
          <t>A</t>
        </is>
      </c>
      <c r="E38" t="inlineStr">
        <is>
          <t>Bundled</t>
        </is>
      </c>
      <c r="F38" t="inlineStr">
        <is>
          <t>O</t>
        </is>
      </c>
      <c r="G38" t="inlineStr">
        <is>
          <t>TN</t>
        </is>
      </c>
      <c r="H38" t="inlineStr">
        <is>
          <t>Municipal</t>
        </is>
      </c>
      <c r="I38" t="inlineStr">
        <is>
          <t>TVA</t>
        </is>
      </c>
      <c r="J38" t="n">
        <v>4914</v>
      </c>
      <c r="K38" t="n">
        <v>43266</v>
      </c>
      <c r="L38" t="n">
        <v>3529</v>
      </c>
      <c r="M38" t="n">
        <v>6769</v>
      </c>
      <c r="N38" t="n">
        <v>60710</v>
      </c>
      <c r="O38" t="n">
        <v>1051</v>
      </c>
      <c r="P38" t="n">
        <v>6215</v>
      </c>
      <c r="Q38" t="n">
        <v>105315</v>
      </c>
      <c r="R38" t="n">
        <v>5</v>
      </c>
      <c r="S38" t="n">
        <v>0</v>
      </c>
      <c r="T38" t="n">
        <v>0</v>
      </c>
      <c r="U38" t="n">
        <v>0</v>
      </c>
      <c r="V38" t="n">
        <v>17898</v>
      </c>
      <c r="W38" t="n">
        <v>209291</v>
      </c>
      <c r="X38" t="n">
        <v>4585</v>
      </c>
      <c r="Y38">
        <f>IF(ISNUMBER($W38),$W38,0)</f>
        <v/>
      </c>
      <c r="Z38">
        <f>IF(ISNUMBER(SEARCH("Adjustment",$C38)),"excluded",IF($H38="Behind the Meter","excluded",IF(NOT(OR($E38="Bundled",$E38="Energy")),"excluded",IF(OR($H38="Retail Power Marketer",$H38="Community Choice Aggregator",$E38="Energy"),"procurement",IF(OR($H38="Municipal",$H38="Cooperative",$H38="Federal",$H38="State",$H38="Political Subdivision"),"cost_service",IF($H38="Investor Owned",IF(AND(COUNTIF(Parameters!$A$4:$A$33,$G38)&gt;0,COUNTIF(Parameters!$B$4:$B$33,$B38)=0),"procurement","cost_service"),"unclassified"))))))</f>
        <v/>
      </c>
    </row>
    <row r="39">
      <c r="A39" t="n">
        <v>2024</v>
      </c>
      <c r="B39" t="n">
        <v>9612</v>
      </c>
      <c r="C39" t="inlineStr">
        <is>
          <t>City of Jackson - (TN)</t>
        </is>
      </c>
      <c r="D39" t="inlineStr">
        <is>
          <t>A</t>
        </is>
      </c>
      <c r="E39" t="inlineStr">
        <is>
          <t>Bundled</t>
        </is>
      </c>
      <c r="F39" t="inlineStr">
        <is>
          <t>O</t>
        </is>
      </c>
      <c r="G39" t="inlineStr">
        <is>
          <t>TN</t>
        </is>
      </c>
      <c r="H39" t="inlineStr">
        <is>
          <t>Municipal</t>
        </is>
      </c>
      <c r="I39" t="inlineStr">
        <is>
          <t>TVA</t>
        </is>
      </c>
      <c r="J39" t="n">
        <v>48852</v>
      </c>
      <c r="K39" t="n">
        <v>408065</v>
      </c>
      <c r="L39" t="n">
        <v>31856</v>
      </c>
      <c r="M39" t="n">
        <v>63373</v>
      </c>
      <c r="N39" t="n">
        <v>547092</v>
      </c>
      <c r="O39" t="n">
        <v>6829</v>
      </c>
      <c r="P39" t="n">
        <v>43265</v>
      </c>
      <c r="Q39" t="n">
        <v>691744</v>
      </c>
      <c r="R39" t="n">
        <v>34</v>
      </c>
      <c r="S39" t="n">
        <v>0</v>
      </c>
      <c r="T39" t="n">
        <v>0</v>
      </c>
      <c r="U39" t="n">
        <v>0</v>
      </c>
      <c r="V39" t="n">
        <v>155490</v>
      </c>
      <c r="W39" t="n">
        <v>1646901</v>
      </c>
      <c r="X39" t="n">
        <v>38719</v>
      </c>
      <c r="Y39">
        <f>IF(ISNUMBER($W39),$W39,0)</f>
        <v/>
      </c>
      <c r="Z39">
        <f>IF(ISNUMBER(SEARCH("Adjustment",$C39)),"excluded",IF($H39="Behind the Meter","excluded",IF(NOT(OR($E39="Bundled",$E39="Energy")),"excluded",IF(OR($H39="Retail Power Marketer",$H39="Community Choice Aggregator",$E39="Energy"),"procurement",IF(OR($H39="Municipal",$H39="Cooperative",$H39="Federal",$H39="State",$H39="Political Subdivision"),"cost_service",IF($H39="Investor Owned",IF(AND(COUNTIF(Parameters!$A$4:$A$33,$G39)&gt;0,COUNTIF(Parameters!$B$4:$B$33,$B39)=0),"procurement","cost_service"),"unclassified"))))))</f>
        <v/>
      </c>
    </row>
    <row r="40">
      <c r="A40" t="n">
        <v>2024</v>
      </c>
      <c r="B40" t="n">
        <v>9697</v>
      </c>
      <c r="C40" t="inlineStr">
        <is>
          <t>City of Jellico</t>
        </is>
      </c>
      <c r="D40" t="inlineStr">
        <is>
          <t>A</t>
        </is>
      </c>
      <c r="E40" t="inlineStr">
        <is>
          <t>Bundled</t>
        </is>
      </c>
      <c r="F40" t="inlineStr">
        <is>
          <t>O</t>
        </is>
      </c>
      <c r="G40" t="inlineStr">
        <is>
          <t>TN</t>
        </is>
      </c>
      <c r="H40" t="inlineStr">
        <is>
          <t>Municipal</t>
        </is>
      </c>
      <c r="I40" t="inlineStr">
        <is>
          <t>TVA</t>
        </is>
      </c>
      <c r="J40" t="n">
        <v>2811</v>
      </c>
      <c r="K40" t="n">
        <v>21527</v>
      </c>
      <c r="L40" t="n">
        <v>1620</v>
      </c>
      <c r="M40" t="n">
        <v>2345</v>
      </c>
      <c r="N40" t="n">
        <v>16565</v>
      </c>
      <c r="O40" t="n">
        <v>669</v>
      </c>
      <c r="P40" t="n">
        <v>5791</v>
      </c>
      <c r="Q40" t="n">
        <v>107108</v>
      </c>
      <c r="R40" t="n">
        <v>1</v>
      </c>
      <c r="S40" t="n">
        <v>0</v>
      </c>
      <c r="T40" t="n">
        <v>0</v>
      </c>
      <c r="U40" t="n">
        <v>0</v>
      </c>
      <c r="V40" t="n">
        <v>10947</v>
      </c>
      <c r="W40" t="n">
        <v>145200</v>
      </c>
      <c r="X40" t="n">
        <v>2290</v>
      </c>
      <c r="Y40">
        <f>IF(ISNUMBER($W40),$W40,0)</f>
        <v/>
      </c>
      <c r="Z40">
        <f>IF(ISNUMBER(SEARCH("Adjustment",$C40)),"excluded",IF($H40="Behind the Meter","excluded",IF(NOT(OR($E40="Bundled",$E40="Energy")),"excluded",IF(OR($H40="Retail Power Marketer",$H40="Community Choice Aggregator",$E40="Energy"),"procurement",IF(OR($H40="Municipal",$H40="Cooperative",$H40="Federal",$H40="State",$H40="Political Subdivision"),"cost_service",IF($H40="Investor Owned",IF(AND(COUNTIF(Parameters!$A$4:$A$33,$G40)&gt;0,COUNTIF(Parameters!$B$4:$B$33,$B40)=0),"procurement","cost_service"),"unclassified"))))))</f>
        <v/>
      </c>
    </row>
    <row r="41">
      <c r="A41" t="n">
        <v>2024</v>
      </c>
      <c r="B41" t="n">
        <v>9777</v>
      </c>
      <c r="C41" t="inlineStr">
        <is>
          <t>Johnson City - (TN)</t>
        </is>
      </c>
      <c r="D41" t="inlineStr">
        <is>
          <t>A</t>
        </is>
      </c>
      <c r="E41" t="inlineStr">
        <is>
          <t>Bundled</t>
        </is>
      </c>
      <c r="F41" t="inlineStr">
        <is>
          <t>O</t>
        </is>
      </c>
      <c r="G41" t="inlineStr">
        <is>
          <t>TN</t>
        </is>
      </c>
      <c r="H41" t="inlineStr">
        <is>
          <t>Municipal</t>
        </is>
      </c>
      <c r="I41" t="inlineStr">
        <is>
          <t>TVA</t>
        </is>
      </c>
      <c r="J41" t="n">
        <v>124321</v>
      </c>
      <c r="K41" t="n">
        <v>1001670</v>
      </c>
      <c r="L41" t="n">
        <v>72205</v>
      </c>
      <c r="M41" t="n">
        <v>83210</v>
      </c>
      <c r="N41" t="n">
        <v>731665</v>
      </c>
      <c r="O41" t="n">
        <v>11891</v>
      </c>
      <c r="P41" t="n">
        <v>11735</v>
      </c>
      <c r="Q41" t="n">
        <v>224295</v>
      </c>
      <c r="R41" t="n">
        <v>13</v>
      </c>
      <c r="S41" t="n">
        <v>0</v>
      </c>
      <c r="T41" t="n">
        <v>0</v>
      </c>
      <c r="U41" t="n">
        <v>0</v>
      </c>
      <c r="V41" t="n">
        <v>219266</v>
      </c>
      <c r="W41" t="n">
        <v>1957630</v>
      </c>
      <c r="X41" t="n">
        <v>84109</v>
      </c>
      <c r="Y41">
        <f>IF(ISNUMBER($W41),$W41,0)</f>
        <v/>
      </c>
      <c r="Z41">
        <f>IF(ISNUMBER(SEARCH("Adjustment",$C41)),"excluded",IF($H41="Behind the Meter","excluded",IF(NOT(OR($E41="Bundled",$E41="Energy")),"excluded",IF(OR($H41="Retail Power Marketer",$H41="Community Choice Aggregator",$E41="Energy"),"procurement",IF(OR($H41="Municipal",$H41="Cooperative",$H41="Federal",$H41="State",$H41="Political Subdivision"),"cost_service",IF($H41="Investor Owned",IF(AND(COUNTIF(Parameters!$A$4:$A$33,$G41)&gt;0,COUNTIF(Parameters!$B$4:$B$33,$B41)=0),"procurement","cost_service"),"unclassified"))))))</f>
        <v/>
      </c>
    </row>
    <row r="42">
      <c r="A42" t="n">
        <v>2024</v>
      </c>
      <c r="B42" t="n">
        <v>10331</v>
      </c>
      <c r="C42" t="inlineStr">
        <is>
          <t>Kingsport Power Co</t>
        </is>
      </c>
      <c r="D42" t="inlineStr">
        <is>
          <t>A</t>
        </is>
      </c>
      <c r="E42" t="inlineStr">
        <is>
          <t>Bundled</t>
        </is>
      </c>
      <c r="F42" t="inlineStr">
        <is>
          <t>O</t>
        </is>
      </c>
      <c r="G42" t="inlineStr">
        <is>
          <t>TN</t>
        </is>
      </c>
      <c r="H42" t="inlineStr">
        <is>
          <t>Investor Owned</t>
        </is>
      </c>
      <c r="I42" t="inlineStr">
        <is>
          <t>PJM</t>
        </is>
      </c>
      <c r="J42" t="n">
        <v>81661</v>
      </c>
      <c r="K42" t="n">
        <v>636147</v>
      </c>
      <c r="L42" t="n">
        <v>43159</v>
      </c>
      <c r="M42" t="n">
        <v>53303</v>
      </c>
      <c r="N42" t="n">
        <v>386067</v>
      </c>
      <c r="O42" t="n">
        <v>6136</v>
      </c>
      <c r="P42" t="n">
        <v>72743</v>
      </c>
      <c r="Q42" t="n">
        <v>780515</v>
      </c>
      <c r="R42" t="n">
        <v>194</v>
      </c>
      <c r="S42" t="n">
        <v>0</v>
      </c>
      <c r="T42" t="n">
        <v>0</v>
      </c>
      <c r="U42" t="n">
        <v>0</v>
      </c>
      <c r="V42" t="n">
        <v>207707</v>
      </c>
      <c r="W42" t="n">
        <v>1802729</v>
      </c>
      <c r="X42" t="n">
        <v>49489</v>
      </c>
      <c r="Y42">
        <f>IF(ISNUMBER($W42),$W42,0)</f>
        <v/>
      </c>
      <c r="Z42">
        <f>IF(ISNUMBER(SEARCH("Adjustment",$C42)),"excluded",IF($H42="Behind the Meter","excluded",IF(NOT(OR($E42="Bundled",$E42="Energy")),"excluded",IF(OR($H42="Retail Power Marketer",$H42="Community Choice Aggregator",$E42="Energy"),"procurement",IF(OR($H42="Municipal",$H42="Cooperative",$H42="Federal",$H42="State",$H42="Political Subdivision"),"cost_service",IF($H42="Investor Owned",IF(AND(COUNTIF(Parameters!$A$4:$A$33,$G42)&gt;0,COUNTIF(Parameters!$B$4:$B$33,$B42)=0),"procurement","cost_service"),"unclassified"))))))</f>
        <v/>
      </c>
    </row>
    <row r="43">
      <c r="A43" t="n">
        <v>2024</v>
      </c>
      <c r="B43" t="n">
        <v>10421</v>
      </c>
      <c r="C43" t="inlineStr">
        <is>
          <t>Knoxville Utilities Board</t>
        </is>
      </c>
      <c r="D43" t="inlineStr">
        <is>
          <t>A</t>
        </is>
      </c>
      <c r="E43" t="inlineStr">
        <is>
          <t>Bundled</t>
        </is>
      </c>
      <c r="F43" t="inlineStr">
        <is>
          <t>O</t>
        </is>
      </c>
      <c r="G43" t="inlineStr">
        <is>
          <t>TN</t>
        </is>
      </c>
      <c r="H43" t="inlineStr">
        <is>
          <t>Municipal</t>
        </is>
      </c>
      <c r="I43" t="inlineStr">
        <is>
          <t>TVA</t>
        </is>
      </c>
      <c r="J43" t="n">
        <v>318595</v>
      </c>
      <c r="K43" t="n">
        <v>2540563</v>
      </c>
      <c r="L43" t="n">
        <v>193707</v>
      </c>
      <c r="M43" t="n">
        <v>276829</v>
      </c>
      <c r="N43" t="n">
        <v>2324105</v>
      </c>
      <c r="O43" t="n">
        <v>25566</v>
      </c>
      <c r="P43" t="n">
        <v>52491</v>
      </c>
      <c r="Q43" t="n">
        <v>1016780</v>
      </c>
      <c r="R43" t="n">
        <v>24</v>
      </c>
      <c r="S43" t="n">
        <v>0</v>
      </c>
      <c r="T43" t="n">
        <v>0</v>
      </c>
      <c r="U43" t="n">
        <v>0</v>
      </c>
      <c r="V43" t="n">
        <v>647915</v>
      </c>
      <c r="W43" t="n">
        <v>5881448</v>
      </c>
      <c r="X43" t="n">
        <v>219297</v>
      </c>
      <c r="Y43">
        <f>IF(ISNUMBER($W43),$W43,0)</f>
        <v/>
      </c>
      <c r="Z43">
        <f>IF(ISNUMBER(SEARCH("Adjustment",$C43)),"excluded",IF($H43="Behind the Meter","excluded",IF(NOT(OR($E43="Bundled",$E43="Energy")),"excluded",IF(OR($H43="Retail Power Marketer",$H43="Community Choice Aggregator",$E43="Energy"),"procurement",IF(OR($H43="Municipal",$H43="Cooperative",$H43="Federal",$H43="State",$H43="Political Subdivision"),"cost_service",IF($H43="Investor Owned",IF(AND(COUNTIF(Parameters!$A$4:$A$33,$G43)&gt;0,COUNTIF(Parameters!$B$4:$B$33,$B43)=0),"procurement","cost_service"),"unclassified"))))))</f>
        <v/>
      </c>
    </row>
    <row r="44">
      <c r="A44" t="n">
        <v>2024</v>
      </c>
      <c r="B44" t="n">
        <v>10579</v>
      </c>
      <c r="C44" t="inlineStr">
        <is>
          <t>City of LaFollette</t>
        </is>
      </c>
      <c r="D44" t="inlineStr">
        <is>
          <t>A</t>
        </is>
      </c>
      <c r="E44" t="inlineStr">
        <is>
          <t>Bundled</t>
        </is>
      </c>
      <c r="F44" t="inlineStr">
        <is>
          <t>O</t>
        </is>
      </c>
      <c r="G44" t="inlineStr">
        <is>
          <t>TN</t>
        </is>
      </c>
      <c r="H44" t="inlineStr">
        <is>
          <t>Municipal</t>
        </is>
      </c>
      <c r="I44" t="inlineStr">
        <is>
          <t>TVA</t>
        </is>
      </c>
      <c r="J44" t="n">
        <v>34287</v>
      </c>
      <c r="K44" t="n">
        <v>253837</v>
      </c>
      <c r="L44" t="n">
        <v>19934</v>
      </c>
      <c r="M44" t="n">
        <v>19612</v>
      </c>
      <c r="N44" t="n">
        <v>171619</v>
      </c>
      <c r="O44" t="n">
        <v>3418</v>
      </c>
      <c r="P44" t="n">
        <v>1537</v>
      </c>
      <c r="Q44" t="n">
        <v>15307</v>
      </c>
      <c r="R44" t="n">
        <v>2</v>
      </c>
      <c r="S44" t="n">
        <v>0</v>
      </c>
      <c r="T44" t="n">
        <v>0</v>
      </c>
      <c r="U44" t="n">
        <v>0</v>
      </c>
      <c r="V44" t="n">
        <v>55436</v>
      </c>
      <c r="W44" t="n">
        <v>440763</v>
      </c>
      <c r="X44" t="n">
        <v>23354</v>
      </c>
      <c r="Y44">
        <f>IF(ISNUMBER($W44),$W44,0)</f>
        <v/>
      </c>
      <c r="Z44">
        <f>IF(ISNUMBER(SEARCH("Adjustment",$C44)),"excluded",IF($H44="Behind the Meter","excluded",IF(NOT(OR($E44="Bundled",$E44="Energy")),"excluded",IF(OR($H44="Retail Power Marketer",$H44="Community Choice Aggregator",$E44="Energy"),"procurement",IF(OR($H44="Municipal",$H44="Cooperative",$H44="Federal",$H44="State",$H44="Political Subdivision"),"cost_service",IF($H44="Investor Owned",IF(AND(COUNTIF(Parameters!$A$4:$A$33,$G44)&gt;0,COUNTIF(Parameters!$B$4:$B$33,$B44)=0),"procurement","cost_service"),"unclassified"))))))</f>
        <v/>
      </c>
    </row>
    <row r="45">
      <c r="A45" t="n">
        <v>2024</v>
      </c>
      <c r="B45" t="n">
        <v>10799</v>
      </c>
      <c r="C45" t="inlineStr">
        <is>
          <t>City of Lawrenceburg</t>
        </is>
      </c>
      <c r="D45" t="inlineStr">
        <is>
          <t>A</t>
        </is>
      </c>
      <c r="E45" t="inlineStr">
        <is>
          <t>Bundled</t>
        </is>
      </c>
      <c r="F45" t="inlineStr">
        <is>
          <t>O</t>
        </is>
      </c>
      <c r="G45" t="inlineStr">
        <is>
          <t>TN</t>
        </is>
      </c>
      <c r="H45" t="inlineStr">
        <is>
          <t>Municipal</t>
        </is>
      </c>
      <c r="I45" t="inlineStr">
        <is>
          <t>TVA</t>
        </is>
      </c>
      <c r="J45" t="n">
        <v>32255</v>
      </c>
      <c r="K45" t="n">
        <v>263879</v>
      </c>
      <c r="L45" t="n">
        <v>18076</v>
      </c>
      <c r="M45" t="n">
        <v>21164</v>
      </c>
      <c r="N45" t="n">
        <v>150115</v>
      </c>
      <c r="O45" t="n">
        <v>3754</v>
      </c>
      <c r="P45" t="n">
        <v>5937</v>
      </c>
      <c r="Q45" t="n">
        <v>73971</v>
      </c>
      <c r="R45" t="n">
        <v>8</v>
      </c>
      <c r="S45" t="n">
        <v>0</v>
      </c>
      <c r="T45" t="n">
        <v>0</v>
      </c>
      <c r="U45" t="n">
        <v>0</v>
      </c>
      <c r="V45" t="n">
        <v>59356</v>
      </c>
      <c r="W45" t="n">
        <v>487965</v>
      </c>
      <c r="X45" t="n">
        <v>21838</v>
      </c>
      <c r="Y45">
        <f>IF(ISNUMBER($W45),$W45,0)</f>
        <v/>
      </c>
      <c r="Z45">
        <f>IF(ISNUMBER(SEARCH("Adjustment",$C45)),"excluded",IF($H45="Behind the Meter","excluded",IF(NOT(OR($E45="Bundled",$E45="Energy")),"excluded",IF(OR($H45="Retail Power Marketer",$H45="Community Choice Aggregator",$E45="Energy"),"procurement",IF(OR($H45="Municipal",$H45="Cooperative",$H45="Federal",$H45="State",$H45="Political Subdivision"),"cost_service",IF($H45="Investor Owned",IF(AND(COUNTIF(Parameters!$A$4:$A$33,$G45)&gt;0,COUNTIF(Parameters!$B$4:$B$33,$B45)=0),"procurement","cost_service"),"unclassified"))))))</f>
        <v/>
      </c>
    </row>
    <row r="46">
      <c r="A46" t="n">
        <v>2024</v>
      </c>
      <c r="B46" t="n">
        <v>10906</v>
      </c>
      <c r="C46" t="inlineStr">
        <is>
          <t>City of Lenoir - (TN)</t>
        </is>
      </c>
      <c r="D46" t="inlineStr">
        <is>
          <t>A</t>
        </is>
      </c>
      <c r="E46" t="inlineStr">
        <is>
          <t>Bundled</t>
        </is>
      </c>
      <c r="F46" t="inlineStr">
        <is>
          <t>O</t>
        </is>
      </c>
      <c r="G46" t="inlineStr">
        <is>
          <t>TN</t>
        </is>
      </c>
      <c r="H46" t="inlineStr">
        <is>
          <t>Municipal</t>
        </is>
      </c>
      <c r="I46" t="inlineStr">
        <is>
          <t>TVA</t>
        </is>
      </c>
      <c r="J46" t="n">
        <v>109361</v>
      </c>
      <c r="K46" t="n">
        <v>914831</v>
      </c>
      <c r="L46" t="n">
        <v>62455</v>
      </c>
      <c r="M46" t="n">
        <v>87482</v>
      </c>
      <c r="N46" t="n">
        <v>744498</v>
      </c>
      <c r="O46" t="n">
        <v>14893</v>
      </c>
      <c r="P46" t="n">
        <v>12639</v>
      </c>
      <c r="Q46" t="n">
        <v>215263</v>
      </c>
      <c r="R46" t="n">
        <v>10</v>
      </c>
      <c r="S46" t="n">
        <v>0</v>
      </c>
      <c r="T46" t="n">
        <v>0</v>
      </c>
      <c r="U46" t="n">
        <v>0</v>
      </c>
      <c r="V46" t="n">
        <v>209482</v>
      </c>
      <c r="W46" t="n">
        <v>1874592</v>
      </c>
      <c r="X46" t="n">
        <v>77358</v>
      </c>
      <c r="Y46">
        <f>IF(ISNUMBER($W46),$W46,0)</f>
        <v/>
      </c>
      <c r="Z46">
        <f>IF(ISNUMBER(SEARCH("Adjustment",$C46)),"excluded",IF($H46="Behind the Meter","excluded",IF(NOT(OR($E46="Bundled",$E46="Energy")),"excluded",IF(OR($H46="Retail Power Marketer",$H46="Community Choice Aggregator",$E46="Energy"),"procurement",IF(OR($H46="Municipal",$H46="Cooperative",$H46="Federal",$H46="State",$H46="Political Subdivision"),"cost_service",IF($H46="Investor Owned",IF(AND(COUNTIF(Parameters!$A$4:$A$33,$G46)&gt;0,COUNTIF(Parameters!$B$4:$B$33,$B46)=0),"procurement","cost_service"),"unclassified"))))))</f>
        <v/>
      </c>
    </row>
    <row r="47">
      <c r="A47" t="n">
        <v>2024</v>
      </c>
      <c r="B47" t="n">
        <v>10960</v>
      </c>
      <c r="C47" t="inlineStr">
        <is>
          <t>City of Lewisburg - (TN)</t>
        </is>
      </c>
      <c r="D47" t="inlineStr">
        <is>
          <t>A</t>
        </is>
      </c>
      <c r="E47" t="inlineStr">
        <is>
          <t>Bundled</t>
        </is>
      </c>
      <c r="F47" t="inlineStr">
        <is>
          <t>O</t>
        </is>
      </c>
      <c r="G47" t="inlineStr">
        <is>
          <t>TN</t>
        </is>
      </c>
      <c r="H47" t="inlineStr">
        <is>
          <t>Municipal</t>
        </is>
      </c>
      <c r="I47" t="inlineStr">
        <is>
          <t>TVA</t>
        </is>
      </c>
      <c r="J47" t="n">
        <v>7642</v>
      </c>
      <c r="K47" t="n">
        <v>68095</v>
      </c>
      <c r="L47" t="n">
        <v>4981</v>
      </c>
      <c r="M47" t="n">
        <v>10553</v>
      </c>
      <c r="N47" t="n">
        <v>89951</v>
      </c>
      <c r="O47" t="n">
        <v>1673</v>
      </c>
      <c r="P47" t="n">
        <v>10895</v>
      </c>
      <c r="Q47" t="n">
        <v>160155</v>
      </c>
      <c r="R47" t="n">
        <v>8</v>
      </c>
      <c r="S47" t="n">
        <v>0</v>
      </c>
      <c r="T47" t="n">
        <v>0</v>
      </c>
      <c r="U47" t="n">
        <v>0</v>
      </c>
      <c r="V47" t="n">
        <v>29090</v>
      </c>
      <c r="W47" t="n">
        <v>318201</v>
      </c>
      <c r="X47" t="n">
        <v>6662</v>
      </c>
      <c r="Y47">
        <f>IF(ISNUMBER($W47),$W47,0)</f>
        <v/>
      </c>
      <c r="Z47">
        <f>IF(ISNUMBER(SEARCH("Adjustment",$C47)),"excluded",IF($H47="Behind the Meter","excluded",IF(NOT(OR($E47="Bundled",$E47="Energy")),"excluded",IF(OR($H47="Retail Power Marketer",$H47="Community Choice Aggregator",$E47="Energy"),"procurement",IF(OR($H47="Municipal",$H47="Cooperative",$H47="Federal",$H47="State",$H47="Political Subdivision"),"cost_service",IF($H47="Investor Owned",IF(AND(COUNTIF(Parameters!$A$4:$A$33,$G47)&gt;0,COUNTIF(Parameters!$B$4:$B$33,$B47)=0),"procurement","cost_service"),"unclassified"))))))</f>
        <v/>
      </c>
    </row>
    <row r="48">
      <c r="A48" t="n">
        <v>2024</v>
      </c>
      <c r="B48" t="n">
        <v>10968</v>
      </c>
      <c r="C48" t="inlineStr">
        <is>
          <t>City of Lexington - (TN)</t>
        </is>
      </c>
      <c r="D48" t="inlineStr">
        <is>
          <t>A</t>
        </is>
      </c>
      <c r="E48" t="inlineStr">
        <is>
          <t>Bundled</t>
        </is>
      </c>
      <c r="F48" t="inlineStr">
        <is>
          <t>O</t>
        </is>
      </c>
      <c r="G48" t="inlineStr">
        <is>
          <t>TN</t>
        </is>
      </c>
      <c r="H48" t="inlineStr">
        <is>
          <t>Municipal</t>
        </is>
      </c>
      <c r="I48" t="inlineStr">
        <is>
          <t>TVA</t>
        </is>
      </c>
      <c r="J48" t="n">
        <v>27930</v>
      </c>
      <c r="K48" t="n">
        <v>231999</v>
      </c>
      <c r="L48" t="n">
        <v>17961</v>
      </c>
      <c r="M48" t="n">
        <v>20353</v>
      </c>
      <c r="N48" t="n">
        <v>157783</v>
      </c>
      <c r="O48" t="n">
        <v>5616</v>
      </c>
      <c r="P48" t="n">
        <v>3027</v>
      </c>
      <c r="Q48" t="n">
        <v>36670</v>
      </c>
      <c r="R48" t="n">
        <v>7</v>
      </c>
      <c r="S48" t="n">
        <v>0</v>
      </c>
      <c r="T48" t="n">
        <v>0</v>
      </c>
      <c r="U48" t="n">
        <v>0</v>
      </c>
      <c r="V48" t="n">
        <v>51310</v>
      </c>
      <c r="W48" t="n">
        <v>426452</v>
      </c>
      <c r="X48" t="n">
        <v>23584</v>
      </c>
      <c r="Y48">
        <f>IF(ISNUMBER($W48),$W48,0)</f>
        <v/>
      </c>
      <c r="Z48">
        <f>IF(ISNUMBER(SEARCH("Adjustment",$C48)),"excluded",IF($H48="Behind the Meter","excluded",IF(NOT(OR($E48="Bundled",$E48="Energy")),"excluded",IF(OR($H48="Retail Power Marketer",$H48="Community Choice Aggregator",$E48="Energy"),"procurement",IF(OR($H48="Municipal",$H48="Cooperative",$H48="Federal",$H48="State",$H48="Political Subdivision"),"cost_service",IF($H48="Investor Owned",IF(AND(COUNTIF(Parameters!$A$4:$A$33,$G48)&gt;0,COUNTIF(Parameters!$B$4:$B$33,$B48)=0),"procurement","cost_service"),"unclassified"))))))</f>
        <v/>
      </c>
    </row>
    <row r="49">
      <c r="A49" t="n">
        <v>2024</v>
      </c>
      <c r="B49" t="n">
        <v>11222</v>
      </c>
      <c r="C49" t="inlineStr">
        <is>
          <t>Loudon Utilities Board</t>
        </is>
      </c>
      <c r="D49" t="inlineStr">
        <is>
          <t>A</t>
        </is>
      </c>
      <c r="E49" t="inlineStr">
        <is>
          <t>Bundled</t>
        </is>
      </c>
      <c r="F49" t="inlineStr">
        <is>
          <t>O</t>
        </is>
      </c>
      <c r="G49" t="inlineStr">
        <is>
          <t>TN</t>
        </is>
      </c>
      <c r="H49" t="inlineStr">
        <is>
          <t>Municipal</t>
        </is>
      </c>
      <c r="I49" t="inlineStr">
        <is>
          <t>TVA</t>
        </is>
      </c>
      <c r="J49" t="n">
        <v>20333</v>
      </c>
      <c r="K49" t="n">
        <v>177561</v>
      </c>
      <c r="L49" t="n">
        <v>12698</v>
      </c>
      <c r="M49" t="n">
        <v>15128</v>
      </c>
      <c r="N49" t="n">
        <v>131687</v>
      </c>
      <c r="O49" t="n">
        <v>1928</v>
      </c>
      <c r="P49" t="n">
        <v>16238</v>
      </c>
      <c r="Q49" t="n">
        <v>239473</v>
      </c>
      <c r="R49" t="n">
        <v>11</v>
      </c>
      <c r="S49" t="n">
        <v>0</v>
      </c>
      <c r="T49" t="n">
        <v>0</v>
      </c>
      <c r="U49" t="n">
        <v>0</v>
      </c>
      <c r="V49" t="n">
        <v>51699</v>
      </c>
      <c r="W49" t="n">
        <v>548721</v>
      </c>
      <c r="X49" t="n">
        <v>14637</v>
      </c>
      <c r="Y49">
        <f>IF(ISNUMBER($W49),$W49,0)</f>
        <v/>
      </c>
      <c r="Z49">
        <f>IF(ISNUMBER(SEARCH("Adjustment",$C49)),"excluded",IF($H49="Behind the Meter","excluded",IF(NOT(OR($E49="Bundled",$E49="Energy")),"excluded",IF(OR($H49="Retail Power Marketer",$H49="Community Choice Aggregator",$E49="Energy"),"procurement",IF(OR($H49="Municipal",$H49="Cooperative",$H49="Federal",$H49="State",$H49="Political Subdivision"),"cost_service",IF($H49="Investor Owned",IF(AND(COUNTIF(Parameters!$A$4:$A$33,$G49)&gt;0,COUNTIF(Parameters!$B$4:$B$33,$B49)=0),"procurement","cost_service"),"unclassified"))))))</f>
        <v/>
      </c>
    </row>
    <row r="50">
      <c r="A50" t="n">
        <v>2024</v>
      </c>
      <c r="B50" t="n">
        <v>11789</v>
      </c>
      <c r="C50" t="inlineStr">
        <is>
          <t>Maryville Utilities</t>
        </is>
      </c>
      <c r="D50" t="inlineStr">
        <is>
          <t>A</t>
        </is>
      </c>
      <c r="E50" t="inlineStr">
        <is>
          <t>Bundled</t>
        </is>
      </c>
      <c r="F50" t="inlineStr">
        <is>
          <t>O</t>
        </is>
      </c>
      <c r="G50" t="inlineStr">
        <is>
          <t>TN</t>
        </is>
      </c>
      <c r="H50" t="inlineStr">
        <is>
          <t>Municipal</t>
        </is>
      </c>
      <c r="I50" t="inlineStr">
        <is>
          <t>TVA</t>
        </is>
      </c>
      <c r="J50" t="n">
        <v>30077</v>
      </c>
      <c r="K50" t="n">
        <v>266710</v>
      </c>
      <c r="L50" t="n">
        <v>19971</v>
      </c>
      <c r="M50" t="n">
        <v>28689</v>
      </c>
      <c r="N50" t="n">
        <v>244884</v>
      </c>
      <c r="O50" t="n">
        <v>3091</v>
      </c>
      <c r="P50" t="n">
        <v>15597</v>
      </c>
      <c r="Q50" t="n">
        <v>263561</v>
      </c>
      <c r="R50" t="n">
        <v>11</v>
      </c>
      <c r="S50" t="n">
        <v>0</v>
      </c>
      <c r="T50" t="n">
        <v>0</v>
      </c>
      <c r="U50" t="n">
        <v>0</v>
      </c>
      <c r="V50" t="n">
        <v>74363</v>
      </c>
      <c r="W50" t="n">
        <v>775155</v>
      </c>
      <c r="X50" t="n">
        <v>23073</v>
      </c>
      <c r="Y50">
        <f>IF(ISNUMBER($W50),$W50,0)</f>
        <v/>
      </c>
      <c r="Z50">
        <f>IF(ISNUMBER(SEARCH("Adjustment",$C50)),"excluded",IF($H50="Behind the Meter","excluded",IF(NOT(OR($E50="Bundled",$E50="Energy")),"excluded",IF(OR($H50="Retail Power Marketer",$H50="Community Choice Aggregator",$E50="Energy"),"procurement",IF(OR($H50="Municipal",$H50="Cooperative",$H50="Federal",$H50="State",$H50="Political Subdivision"),"cost_service",IF($H50="Investor Owned",IF(AND(COUNTIF(Parameters!$A$4:$A$33,$G50)&gt;0,COUNTIF(Parameters!$B$4:$B$33,$B50)=0),"procurement","cost_service"),"unclassified"))))))</f>
        <v/>
      </c>
    </row>
    <row r="51">
      <c r="A51" t="n">
        <v>2024</v>
      </c>
      <c r="B51" t="n">
        <v>12186</v>
      </c>
      <c r="C51" t="inlineStr">
        <is>
          <t>McMinnville Electric System</t>
        </is>
      </c>
      <c r="D51" t="inlineStr">
        <is>
          <t>A</t>
        </is>
      </c>
      <c r="E51" t="inlineStr">
        <is>
          <t>Bundled</t>
        </is>
      </c>
      <c r="F51" t="inlineStr">
        <is>
          <t>O</t>
        </is>
      </c>
      <c r="G51" t="inlineStr">
        <is>
          <t>TN</t>
        </is>
      </c>
      <c r="H51" t="inlineStr">
        <is>
          <t>Municipal</t>
        </is>
      </c>
      <c r="I51" t="inlineStr">
        <is>
          <t>TVA</t>
        </is>
      </c>
      <c r="J51" t="n">
        <v>9258</v>
      </c>
      <c r="K51" t="n">
        <v>78240</v>
      </c>
      <c r="L51" t="n">
        <v>6646</v>
      </c>
      <c r="M51" t="n">
        <v>10580</v>
      </c>
      <c r="N51" t="n">
        <v>85186</v>
      </c>
      <c r="O51" t="n">
        <v>1659</v>
      </c>
      <c r="P51" t="n">
        <v>1019</v>
      </c>
      <c r="Q51" t="n">
        <v>10590</v>
      </c>
      <c r="R51" t="n">
        <v>2</v>
      </c>
      <c r="S51" t="n">
        <v>0</v>
      </c>
      <c r="T51" t="n">
        <v>0</v>
      </c>
      <c r="U51" t="n">
        <v>0</v>
      </c>
      <c r="V51" t="n">
        <v>20857</v>
      </c>
      <c r="W51" t="n">
        <v>174016</v>
      </c>
      <c r="X51" t="n">
        <v>8307</v>
      </c>
      <c r="Y51">
        <f>IF(ISNUMBER($W51),$W51,0)</f>
        <v/>
      </c>
      <c r="Z51">
        <f>IF(ISNUMBER(SEARCH("Adjustment",$C51)),"excluded",IF($H51="Behind the Meter","excluded",IF(NOT(OR($E51="Bundled",$E51="Energy")),"excluded",IF(OR($H51="Retail Power Marketer",$H51="Community Choice Aggregator",$E51="Energy"),"procurement",IF(OR($H51="Municipal",$H51="Cooperative",$H51="Federal",$H51="State",$H51="Political Subdivision"),"cost_service",IF($H51="Investor Owned",IF(AND(COUNTIF(Parameters!$A$4:$A$33,$G51)&gt;0,COUNTIF(Parameters!$B$4:$B$33,$B51)=0),"procurement","cost_service"),"unclassified"))))))</f>
        <v/>
      </c>
    </row>
    <row r="52">
      <c r="A52" t="n">
        <v>2024</v>
      </c>
      <c r="B52" t="n">
        <v>12293</v>
      </c>
      <c r="C52" t="inlineStr">
        <is>
          <t>City of Memphis - (TN)</t>
        </is>
      </c>
      <c r="D52" t="inlineStr">
        <is>
          <t>A</t>
        </is>
      </c>
      <c r="E52" t="inlineStr">
        <is>
          <t>Bundled</t>
        </is>
      </c>
      <c r="F52" t="inlineStr">
        <is>
          <t>O</t>
        </is>
      </c>
      <c r="G52" t="inlineStr">
        <is>
          <t>TN</t>
        </is>
      </c>
      <c r="H52" t="inlineStr">
        <is>
          <t>Municipal</t>
        </is>
      </c>
      <c r="I52" t="inlineStr">
        <is>
          <t>TVA</t>
        </is>
      </c>
      <c r="J52" t="n">
        <v>632029.2</v>
      </c>
      <c r="K52" t="n">
        <v>5196735</v>
      </c>
      <c r="L52" t="n">
        <v>380286</v>
      </c>
      <c r="M52" t="n">
        <v>721756.5</v>
      </c>
      <c r="N52" t="n">
        <v>6007246</v>
      </c>
      <c r="O52" t="n">
        <v>42966</v>
      </c>
      <c r="P52" t="n">
        <v>123814.6</v>
      </c>
      <c r="Q52" t="n">
        <v>1740384</v>
      </c>
      <c r="R52" t="n">
        <v>86</v>
      </c>
      <c r="S52" t="n">
        <v>0</v>
      </c>
      <c r="T52" t="n">
        <v>0</v>
      </c>
      <c r="U52" t="n">
        <v>0</v>
      </c>
      <c r="V52" t="n">
        <v>1477600.3</v>
      </c>
      <c r="W52" t="n">
        <v>12944365</v>
      </c>
      <c r="X52" t="n">
        <v>423338</v>
      </c>
      <c r="Y52">
        <f>IF(ISNUMBER($W52),$W52,0)</f>
        <v/>
      </c>
      <c r="Z52">
        <f>IF(ISNUMBER(SEARCH("Adjustment",$C52)),"excluded",IF($H52="Behind the Meter","excluded",IF(NOT(OR($E52="Bundled",$E52="Energy")),"excluded",IF(OR($H52="Retail Power Marketer",$H52="Community Choice Aggregator",$E52="Energy"),"procurement",IF(OR($H52="Municipal",$H52="Cooperative",$H52="Federal",$H52="State",$H52="Political Subdivision"),"cost_service",IF($H52="Investor Owned",IF(AND(COUNTIF(Parameters!$A$4:$A$33,$G52)&gt;0,COUNTIF(Parameters!$B$4:$B$33,$B52)=0),"procurement","cost_service"),"unclassified"))))))</f>
        <v/>
      </c>
    </row>
    <row r="53">
      <c r="A53" t="n">
        <v>2024</v>
      </c>
      <c r="B53" t="n">
        <v>12330</v>
      </c>
      <c r="C53" t="inlineStr">
        <is>
          <t>Meriwether Lewis Electric Coop</t>
        </is>
      </c>
      <c r="D53" t="inlineStr">
        <is>
          <t>A</t>
        </is>
      </c>
      <c r="E53" t="inlineStr">
        <is>
          <t>Bundled</t>
        </is>
      </c>
      <c r="F53" t="inlineStr">
        <is>
          <t>O</t>
        </is>
      </c>
      <c r="G53" t="inlineStr">
        <is>
          <t>TN</t>
        </is>
      </c>
      <c r="H53" t="inlineStr">
        <is>
          <t>Cooperative</t>
        </is>
      </c>
      <c r="I53" t="inlineStr">
        <is>
          <t>TVA</t>
        </is>
      </c>
      <c r="J53" t="n">
        <v>58724</v>
      </c>
      <c r="K53" t="n">
        <v>429142</v>
      </c>
      <c r="L53" t="n">
        <v>30319</v>
      </c>
      <c r="M53" t="n">
        <v>31657</v>
      </c>
      <c r="N53" t="n">
        <v>215638</v>
      </c>
      <c r="O53" t="n">
        <v>6430</v>
      </c>
      <c r="P53" t="n">
        <v>30409</v>
      </c>
      <c r="Q53" t="n">
        <v>516157</v>
      </c>
      <c r="R53" t="n">
        <v>9</v>
      </c>
      <c r="S53" t="n">
        <v>0</v>
      </c>
      <c r="T53" t="n">
        <v>0</v>
      </c>
      <c r="U53" t="n">
        <v>0</v>
      </c>
      <c r="V53" t="n">
        <v>120790</v>
      </c>
      <c r="W53" t="n">
        <v>1160937</v>
      </c>
      <c r="X53" t="n">
        <v>36758</v>
      </c>
      <c r="Y53">
        <f>IF(ISNUMBER($W53),$W53,0)</f>
        <v/>
      </c>
      <c r="Z53">
        <f>IF(ISNUMBER(SEARCH("Adjustment",$C53)),"excluded",IF($H53="Behind the Meter","excluded",IF(NOT(OR($E53="Bundled",$E53="Energy")),"excluded",IF(OR($H53="Retail Power Marketer",$H53="Community Choice Aggregator",$E53="Energy"),"procurement",IF(OR($H53="Municipal",$H53="Cooperative",$H53="Federal",$H53="State",$H53="Political Subdivision"),"cost_service",IF($H53="Investor Owned",IF(AND(COUNTIF(Parameters!$A$4:$A$33,$G53)&gt;0,COUNTIF(Parameters!$B$4:$B$33,$B53)=0),"procurement","cost_service"),"unclassified"))))))</f>
        <v/>
      </c>
    </row>
    <row r="54">
      <c r="A54" t="n">
        <v>2024</v>
      </c>
      <c r="B54" t="n">
        <v>12470</v>
      </c>
      <c r="C54" t="inlineStr">
        <is>
          <t>Middle Tennessee E M C</t>
        </is>
      </c>
      <c r="D54" t="inlineStr">
        <is>
          <t>A</t>
        </is>
      </c>
      <c r="E54" t="inlineStr">
        <is>
          <t>Bundled</t>
        </is>
      </c>
      <c r="F54" t="inlineStr">
        <is>
          <t>O</t>
        </is>
      </c>
      <c r="G54" t="inlineStr">
        <is>
          <t>TN</t>
        </is>
      </c>
      <c r="H54" t="inlineStr">
        <is>
          <t>Cooperative</t>
        </is>
      </c>
      <c r="I54" t="inlineStr">
        <is>
          <t>TVA</t>
        </is>
      </c>
      <c r="J54" t="n">
        <v>547097</v>
      </c>
      <c r="K54" t="n">
        <v>4650561</v>
      </c>
      <c r="L54" t="n">
        <v>307370</v>
      </c>
      <c r="M54" t="n">
        <v>363416</v>
      </c>
      <c r="N54" t="n">
        <v>3173415</v>
      </c>
      <c r="O54" t="n">
        <v>36886</v>
      </c>
      <c r="P54" t="n">
        <v>56766</v>
      </c>
      <c r="Q54" t="n">
        <v>848729</v>
      </c>
      <c r="R54" t="n">
        <v>39</v>
      </c>
      <c r="S54" t="n">
        <v>0</v>
      </c>
      <c r="T54" t="n">
        <v>0</v>
      </c>
      <c r="U54" t="n">
        <v>0</v>
      </c>
      <c r="V54" t="n">
        <v>967279</v>
      </c>
      <c r="W54" t="n">
        <v>8672705</v>
      </c>
      <c r="X54" t="n">
        <v>344295</v>
      </c>
      <c r="Y54">
        <f>IF(ISNUMBER($W54),$W54,0)</f>
        <v/>
      </c>
      <c r="Z54">
        <f>IF(ISNUMBER(SEARCH("Adjustment",$C54)),"excluded",IF($H54="Behind the Meter","excluded",IF(NOT(OR($E54="Bundled",$E54="Energy")),"excluded",IF(OR($H54="Retail Power Marketer",$H54="Community Choice Aggregator",$E54="Energy"),"procurement",IF(OR($H54="Municipal",$H54="Cooperative",$H54="Federal",$H54="State",$H54="Political Subdivision"),"cost_service",IF($H54="Investor Owned",IF(AND(COUNTIF(Parameters!$A$4:$A$33,$G54)&gt;0,COUNTIF(Parameters!$B$4:$B$33,$B54)=0),"procurement","cost_service"),"unclassified"))))))</f>
        <v/>
      </c>
    </row>
    <row r="55">
      <c r="A55" t="n">
        <v>2024</v>
      </c>
      <c r="B55" t="n">
        <v>12532</v>
      </c>
      <c r="C55" t="inlineStr">
        <is>
          <t>City of Milan - (TN)</t>
        </is>
      </c>
      <c r="D55" t="inlineStr">
        <is>
          <t>A</t>
        </is>
      </c>
      <c r="E55" t="inlineStr">
        <is>
          <t>Bundled</t>
        </is>
      </c>
      <c r="F55" t="inlineStr">
        <is>
          <t>O</t>
        </is>
      </c>
      <c r="G55" t="inlineStr">
        <is>
          <t>TN</t>
        </is>
      </c>
      <c r="H55" t="inlineStr">
        <is>
          <t>Municipal</t>
        </is>
      </c>
      <c r="I55" t="inlineStr">
        <is>
          <t>TVA</t>
        </is>
      </c>
      <c r="J55" t="n">
        <v>12130</v>
      </c>
      <c r="K55" t="n">
        <v>100330</v>
      </c>
      <c r="L55" t="n">
        <v>6902</v>
      </c>
      <c r="M55" t="n">
        <v>7583</v>
      </c>
      <c r="N55" t="n">
        <v>62081</v>
      </c>
      <c r="O55" t="n">
        <v>1630</v>
      </c>
      <c r="P55" t="n">
        <v>1636</v>
      </c>
      <c r="Q55" t="n">
        <v>17572</v>
      </c>
      <c r="R55" t="n">
        <v>2</v>
      </c>
      <c r="S55" t="n">
        <v>0</v>
      </c>
      <c r="T55" t="n">
        <v>0</v>
      </c>
      <c r="U55" t="n">
        <v>0</v>
      </c>
      <c r="V55" t="n">
        <v>21349</v>
      </c>
      <c r="W55" t="n">
        <v>179983</v>
      </c>
      <c r="X55" t="n">
        <v>8534</v>
      </c>
      <c r="Y55">
        <f>IF(ISNUMBER($W55),$W55,0)</f>
        <v/>
      </c>
      <c r="Z55">
        <f>IF(ISNUMBER(SEARCH("Adjustment",$C55)),"excluded",IF($H55="Behind the Meter","excluded",IF(NOT(OR($E55="Bundled",$E55="Energy")),"excluded",IF(OR($H55="Retail Power Marketer",$H55="Community Choice Aggregator",$E55="Energy"),"procurement",IF(OR($H55="Municipal",$H55="Cooperative",$H55="Federal",$H55="State",$H55="Political Subdivision"),"cost_service",IF($H55="Investor Owned",IF(AND(COUNTIF(Parameters!$A$4:$A$33,$G55)&gt;0,COUNTIF(Parameters!$B$4:$B$33,$B55)=0),"procurement","cost_service"),"unclassified"))))))</f>
        <v/>
      </c>
    </row>
    <row r="56">
      <c r="A56" t="n">
        <v>2024</v>
      </c>
      <c r="B56" t="n">
        <v>12988</v>
      </c>
      <c r="C56" t="inlineStr">
        <is>
          <t>City of Morristown - (TN)</t>
        </is>
      </c>
      <c r="D56" t="inlineStr">
        <is>
          <t>A</t>
        </is>
      </c>
      <c r="E56" t="inlineStr">
        <is>
          <t>Bundled</t>
        </is>
      </c>
      <c r="F56" t="inlineStr">
        <is>
          <t>O</t>
        </is>
      </c>
      <c r="G56" t="inlineStr">
        <is>
          <t>TN</t>
        </is>
      </c>
      <c r="H56" t="inlineStr">
        <is>
          <t>Municipal</t>
        </is>
      </c>
      <c r="I56" t="inlineStr">
        <is>
          <t>TVA</t>
        </is>
      </c>
      <c r="J56" t="n">
        <v>21567</v>
      </c>
      <c r="K56" t="n">
        <v>169235</v>
      </c>
      <c r="L56" t="n">
        <v>13459</v>
      </c>
      <c r="M56" t="n">
        <v>35193</v>
      </c>
      <c r="N56" t="n">
        <v>308118</v>
      </c>
      <c r="O56" t="n">
        <v>3021</v>
      </c>
      <c r="P56" t="n">
        <v>30466</v>
      </c>
      <c r="Q56" t="n">
        <v>446774</v>
      </c>
      <c r="R56" t="n">
        <v>29</v>
      </c>
      <c r="S56" t="n">
        <v>0</v>
      </c>
      <c r="T56" t="n">
        <v>0</v>
      </c>
      <c r="U56" t="n">
        <v>0</v>
      </c>
      <c r="V56" t="n">
        <v>87226</v>
      </c>
      <c r="W56" t="n">
        <v>924127</v>
      </c>
      <c r="X56" t="n">
        <v>16509</v>
      </c>
      <c r="Y56">
        <f>IF(ISNUMBER($W56),$W56,0)</f>
        <v/>
      </c>
      <c r="Z56">
        <f>IF(ISNUMBER(SEARCH("Adjustment",$C56)),"excluded",IF($H56="Behind the Meter","excluded",IF(NOT(OR($E56="Bundled",$E56="Energy")),"excluded",IF(OR($H56="Retail Power Marketer",$H56="Community Choice Aggregator",$E56="Energy"),"procurement",IF(OR($H56="Municipal",$H56="Cooperative",$H56="Federal",$H56="State",$H56="Political Subdivision"),"cost_service",IF($H56="Investor Owned",IF(AND(COUNTIF(Parameters!$A$4:$A$33,$G56)&gt;0,COUNTIF(Parameters!$B$4:$B$33,$B56)=0),"procurement","cost_service"),"unclassified"))))))</f>
        <v/>
      </c>
    </row>
    <row r="57">
      <c r="A57" t="n">
        <v>2024</v>
      </c>
      <c r="B57" t="n">
        <v>13027</v>
      </c>
      <c r="C57" t="inlineStr">
        <is>
          <t>Mountain Electric Coop, Inc</t>
        </is>
      </c>
      <c r="D57" t="inlineStr">
        <is>
          <t>A</t>
        </is>
      </c>
      <c r="E57" t="inlineStr">
        <is>
          <t>Bundled</t>
        </is>
      </c>
      <c r="F57" t="inlineStr">
        <is>
          <t>O</t>
        </is>
      </c>
      <c r="G57" t="inlineStr">
        <is>
          <t>TN</t>
        </is>
      </c>
      <c r="H57" t="inlineStr">
        <is>
          <t>Cooperative</t>
        </is>
      </c>
      <c r="I57" t="inlineStr">
        <is>
          <t>TVA</t>
        </is>
      </c>
      <c r="J57" t="n">
        <v>18527</v>
      </c>
      <c r="K57" t="n">
        <v>150090</v>
      </c>
      <c r="L57" t="n">
        <v>12539</v>
      </c>
      <c r="M57" t="n">
        <v>10437</v>
      </c>
      <c r="N57" t="n">
        <v>75008</v>
      </c>
      <c r="O57" t="n">
        <v>3720</v>
      </c>
      <c r="P57" t="n">
        <v>5692</v>
      </c>
      <c r="Q57" t="n">
        <v>96185</v>
      </c>
      <c r="R57" t="n">
        <v>3</v>
      </c>
      <c r="S57" t="n">
        <v>0</v>
      </c>
      <c r="T57" t="n">
        <v>0</v>
      </c>
      <c r="U57" t="n">
        <v>0</v>
      </c>
      <c r="V57" t="n">
        <v>34656</v>
      </c>
      <c r="W57" t="n">
        <v>321283</v>
      </c>
      <c r="X57" t="n">
        <v>16262</v>
      </c>
      <c r="Y57">
        <f>IF(ISNUMBER($W57),$W57,0)</f>
        <v/>
      </c>
      <c r="Z57">
        <f>IF(ISNUMBER(SEARCH("Adjustment",$C57)),"excluded",IF($H57="Behind the Meter","excluded",IF(NOT(OR($E57="Bundled",$E57="Energy")),"excluded",IF(OR($H57="Retail Power Marketer",$H57="Community Choice Aggregator",$E57="Energy"),"procurement",IF(OR($H57="Municipal",$H57="Cooperative",$H57="Federal",$H57="State",$H57="Political Subdivision"),"cost_service",IF($H57="Investor Owned",IF(AND(COUNTIF(Parameters!$A$4:$A$33,$G57)&gt;0,COUNTIF(Parameters!$B$4:$B$33,$B57)=0),"procurement","cost_service"),"unclassified"))))))</f>
        <v/>
      </c>
    </row>
    <row r="58">
      <c r="A58" t="n">
        <v>2024</v>
      </c>
      <c r="B58" t="n">
        <v>13039</v>
      </c>
      <c r="C58" t="inlineStr">
        <is>
          <t>City of Mt Pleasant - (TN)</t>
        </is>
      </c>
      <c r="D58" t="inlineStr">
        <is>
          <t>A</t>
        </is>
      </c>
      <c r="E58" t="inlineStr">
        <is>
          <t>Bundled</t>
        </is>
      </c>
      <c r="F58" t="inlineStr">
        <is>
          <t>O</t>
        </is>
      </c>
      <c r="G58" t="inlineStr">
        <is>
          <t>TN</t>
        </is>
      </c>
      <c r="H58" t="inlineStr">
        <is>
          <t>Municipal</t>
        </is>
      </c>
      <c r="I58" t="inlineStr">
        <is>
          <t>TVA</t>
        </is>
      </c>
      <c r="J58" t="n">
        <v>6441</v>
      </c>
      <c r="K58" t="n">
        <v>49316</v>
      </c>
      <c r="L58" t="n">
        <v>3524</v>
      </c>
      <c r="M58" t="n">
        <v>4531</v>
      </c>
      <c r="N58" t="n">
        <v>32733</v>
      </c>
      <c r="O58" t="n">
        <v>764</v>
      </c>
      <c r="P58" t="n">
        <v>5143</v>
      </c>
      <c r="Q58" t="n">
        <v>61876</v>
      </c>
      <c r="R58" t="n">
        <v>6</v>
      </c>
      <c r="S58" t="n">
        <v>0</v>
      </c>
      <c r="T58" t="n">
        <v>0</v>
      </c>
      <c r="U58" t="n">
        <v>0</v>
      </c>
      <c r="V58" t="n">
        <v>16115</v>
      </c>
      <c r="W58" t="n">
        <v>143925</v>
      </c>
      <c r="X58" t="n">
        <v>4294</v>
      </c>
      <c r="Y58">
        <f>IF(ISNUMBER($W58),$W58,0)</f>
        <v/>
      </c>
      <c r="Z58">
        <f>IF(ISNUMBER(SEARCH("Adjustment",$C58)),"excluded",IF($H58="Behind the Meter","excluded",IF(NOT(OR($E58="Bundled",$E58="Energy")),"excluded",IF(OR($H58="Retail Power Marketer",$H58="Community Choice Aggregator",$E58="Energy"),"procurement",IF(OR($H58="Municipal",$H58="Cooperative",$H58="Federal",$H58="State",$H58="Political Subdivision"),"cost_service",IF($H58="Investor Owned",IF(AND(COUNTIF(Parameters!$A$4:$A$33,$G58)&gt;0,COUNTIF(Parameters!$B$4:$B$33,$B58)=0),"procurement","cost_service"),"unclassified"))))))</f>
        <v/>
      </c>
    </row>
    <row r="59">
      <c r="A59" t="n">
        <v>2024</v>
      </c>
      <c r="B59" t="n">
        <v>13216</v>
      </c>
      <c r="C59" t="inlineStr">
        <is>
          <t>Nashville Electric Service</t>
        </is>
      </c>
      <c r="D59" t="inlineStr">
        <is>
          <t>A</t>
        </is>
      </c>
      <c r="E59" t="inlineStr">
        <is>
          <t>Bundled</t>
        </is>
      </c>
      <c r="F59" t="inlineStr">
        <is>
          <t>O</t>
        </is>
      </c>
      <c r="G59" t="inlineStr">
        <is>
          <t>TN</t>
        </is>
      </c>
      <c r="H59" t="inlineStr">
        <is>
          <t>Municipal</t>
        </is>
      </c>
      <c r="I59" t="inlineStr">
        <is>
          <t>TVA</t>
        </is>
      </c>
      <c r="J59" t="n">
        <v>689133</v>
      </c>
      <c r="K59" t="n">
        <v>5115864</v>
      </c>
      <c r="L59" t="n">
        <v>417640</v>
      </c>
      <c r="M59" t="n">
        <v>730152</v>
      </c>
      <c r="N59" t="n">
        <v>6069079</v>
      </c>
      <c r="O59" t="n">
        <v>45757</v>
      </c>
      <c r="P59" t="n">
        <v>69388</v>
      </c>
      <c r="Q59" t="n">
        <v>917818</v>
      </c>
      <c r="R59" t="n">
        <v>58</v>
      </c>
      <c r="S59" t="n">
        <v>0</v>
      </c>
      <c r="T59" t="n">
        <v>0</v>
      </c>
      <c r="U59" t="n">
        <v>0</v>
      </c>
      <c r="V59" t="n">
        <v>1488673</v>
      </c>
      <c r="W59" t="n">
        <v>12102761</v>
      </c>
      <c r="X59" t="n">
        <v>463455</v>
      </c>
      <c r="Y59">
        <f>IF(ISNUMBER($W59),$W59,0)</f>
        <v/>
      </c>
      <c r="Z59">
        <f>IF(ISNUMBER(SEARCH("Adjustment",$C59)),"excluded",IF($H59="Behind the Meter","excluded",IF(NOT(OR($E59="Bundled",$E59="Energy")),"excluded",IF(OR($H59="Retail Power Marketer",$H59="Community Choice Aggregator",$E59="Energy"),"procurement",IF(OR($H59="Municipal",$H59="Cooperative",$H59="Federal",$H59="State",$H59="Political Subdivision"),"cost_service",IF($H59="Investor Owned",IF(AND(COUNTIF(Parameters!$A$4:$A$33,$G59)&gt;0,COUNTIF(Parameters!$B$4:$B$33,$B59)=0),"procurement","cost_service"),"unclassified"))))))</f>
        <v/>
      </c>
    </row>
    <row r="60">
      <c r="A60" t="n">
        <v>2024</v>
      </c>
      <c r="B60" t="n">
        <v>13437</v>
      </c>
      <c r="C60" t="inlineStr">
        <is>
          <t>City of Newbern</t>
        </is>
      </c>
      <c r="D60" t="inlineStr">
        <is>
          <t>A</t>
        </is>
      </c>
      <c r="E60" t="inlineStr">
        <is>
          <t>Bundled</t>
        </is>
      </c>
      <c r="F60" t="inlineStr">
        <is>
          <t>O</t>
        </is>
      </c>
      <c r="G60" t="inlineStr">
        <is>
          <t>TN</t>
        </is>
      </c>
      <c r="H60" t="inlineStr">
        <is>
          <t>Municipal</t>
        </is>
      </c>
      <c r="I60" t="inlineStr">
        <is>
          <t>TVA</t>
        </is>
      </c>
      <c r="J60" t="n">
        <v>2080</v>
      </c>
      <c r="K60" t="n">
        <v>20120</v>
      </c>
      <c r="L60" t="n">
        <v>1495</v>
      </c>
      <c r="M60" t="n">
        <v>2276</v>
      </c>
      <c r="N60" t="n">
        <v>20925</v>
      </c>
      <c r="O60" t="n">
        <v>338</v>
      </c>
      <c r="P60" t="n">
        <v>4805</v>
      </c>
      <c r="Q60" t="n">
        <v>59405</v>
      </c>
      <c r="R60" t="n">
        <v>3</v>
      </c>
      <c r="S60" t="n">
        <v>0</v>
      </c>
      <c r="T60" t="n">
        <v>0</v>
      </c>
      <c r="U60" t="n">
        <v>0</v>
      </c>
      <c r="V60" t="n">
        <v>9161</v>
      </c>
      <c r="W60" t="n">
        <v>100450</v>
      </c>
      <c r="X60" t="n">
        <v>1836</v>
      </c>
      <c r="Y60">
        <f>IF(ISNUMBER($W60),$W60,0)</f>
        <v/>
      </c>
      <c r="Z60">
        <f>IF(ISNUMBER(SEARCH("Adjustment",$C60)),"excluded",IF($H60="Behind the Meter","excluded",IF(NOT(OR($E60="Bundled",$E60="Energy")),"excluded",IF(OR($H60="Retail Power Marketer",$H60="Community Choice Aggregator",$E60="Energy"),"procurement",IF(OR($H60="Municipal",$H60="Cooperative",$H60="Federal",$H60="State",$H60="Political Subdivision"),"cost_service",IF($H60="Investor Owned",IF(AND(COUNTIF(Parameters!$A$4:$A$33,$G60)&gt;0,COUNTIF(Parameters!$B$4:$B$33,$B60)=0),"procurement","cost_service"),"unclassified"))))))</f>
        <v/>
      </c>
    </row>
    <row r="61">
      <c r="A61" t="n">
        <v>2024</v>
      </c>
      <c r="B61" t="n">
        <v>13550</v>
      </c>
      <c r="C61" t="inlineStr">
        <is>
          <t>City of Newport - (TN)</t>
        </is>
      </c>
      <c r="D61" t="inlineStr">
        <is>
          <t>A</t>
        </is>
      </c>
      <c r="E61" t="inlineStr">
        <is>
          <t>Bundled</t>
        </is>
      </c>
      <c r="F61" t="inlineStr">
        <is>
          <t>O</t>
        </is>
      </c>
      <c r="G61" t="inlineStr">
        <is>
          <t>TN</t>
        </is>
      </c>
      <c r="H61" t="inlineStr">
        <is>
          <t>Municipal</t>
        </is>
      </c>
      <c r="I61" t="inlineStr">
        <is>
          <t>TVA</t>
        </is>
      </c>
      <c r="J61" t="n">
        <v>35443</v>
      </c>
      <c r="K61" t="n">
        <v>256270</v>
      </c>
      <c r="L61" t="n">
        <v>19859</v>
      </c>
      <c r="M61" t="n">
        <v>17849</v>
      </c>
      <c r="N61" t="n">
        <v>127248</v>
      </c>
      <c r="O61" t="n">
        <v>3619</v>
      </c>
      <c r="P61" t="n">
        <v>9803</v>
      </c>
      <c r="Q61" t="n">
        <v>145129</v>
      </c>
      <c r="R61" t="n">
        <v>6</v>
      </c>
      <c r="S61" t="n">
        <v>0</v>
      </c>
      <c r="T61" t="n">
        <v>0</v>
      </c>
      <c r="U61" t="n">
        <v>0</v>
      </c>
      <c r="V61" t="n">
        <v>63095</v>
      </c>
      <c r="W61" t="n">
        <v>528647</v>
      </c>
      <c r="X61" t="n">
        <v>23484</v>
      </c>
      <c r="Y61">
        <f>IF(ISNUMBER($W61),$W61,0)</f>
        <v/>
      </c>
      <c r="Z61">
        <f>IF(ISNUMBER(SEARCH("Adjustment",$C61)),"excluded",IF($H61="Behind the Meter","excluded",IF(NOT(OR($E61="Bundled",$E61="Energy")),"excluded",IF(OR($H61="Retail Power Marketer",$H61="Community Choice Aggregator",$E61="Energy"),"procurement",IF(OR($H61="Municipal",$H61="Cooperative",$H61="Federal",$H61="State",$H61="Political Subdivision"),"cost_service",IF($H61="Investor Owned",IF(AND(COUNTIF(Parameters!$A$4:$A$33,$G61)&gt;0,COUNTIF(Parameters!$B$4:$B$33,$B61)=0),"procurement","cost_service"),"unclassified"))))))</f>
        <v/>
      </c>
    </row>
    <row r="62">
      <c r="A62" t="n">
        <v>2024</v>
      </c>
      <c r="B62" t="n">
        <v>13933</v>
      </c>
      <c r="C62" t="inlineStr">
        <is>
          <t>City of Oak Ridge</t>
        </is>
      </c>
      <c r="D62" t="inlineStr">
        <is>
          <t>A</t>
        </is>
      </c>
      <c r="E62" t="inlineStr">
        <is>
          <t>Bundled</t>
        </is>
      </c>
      <c r="F62" t="inlineStr">
        <is>
          <t>O</t>
        </is>
      </c>
      <c r="G62" t="inlineStr">
        <is>
          <t>TN</t>
        </is>
      </c>
      <c r="H62" t="inlineStr">
        <is>
          <t>Municipal</t>
        </is>
      </c>
      <c r="I62" t="inlineStr">
        <is>
          <t>TVA</t>
        </is>
      </c>
      <c r="J62" t="n">
        <v>21636</v>
      </c>
      <c r="K62" t="n">
        <v>173511</v>
      </c>
      <c r="L62" t="n">
        <v>15497</v>
      </c>
      <c r="M62" t="n">
        <v>36715</v>
      </c>
      <c r="N62" t="n">
        <v>305349</v>
      </c>
      <c r="O62" t="n">
        <v>2332</v>
      </c>
      <c r="P62" t="n">
        <v>877</v>
      </c>
      <c r="Q62" t="n">
        <v>10861</v>
      </c>
      <c r="R62" t="n">
        <v>2</v>
      </c>
      <c r="S62" t="n">
        <v>0</v>
      </c>
      <c r="T62" t="n">
        <v>0</v>
      </c>
      <c r="U62" t="n">
        <v>0</v>
      </c>
      <c r="V62" t="n">
        <v>59228</v>
      </c>
      <c r="W62" t="n">
        <v>489721</v>
      </c>
      <c r="X62" t="n">
        <v>17831</v>
      </c>
      <c r="Y62">
        <f>IF(ISNUMBER($W62),$W62,0)</f>
        <v/>
      </c>
      <c r="Z62">
        <f>IF(ISNUMBER(SEARCH("Adjustment",$C62)),"excluded",IF($H62="Behind the Meter","excluded",IF(NOT(OR($E62="Bundled",$E62="Energy")),"excluded",IF(OR($H62="Retail Power Marketer",$H62="Community Choice Aggregator",$E62="Energy"),"procurement",IF(OR($H62="Municipal",$H62="Cooperative",$H62="Federal",$H62="State",$H62="Political Subdivision"),"cost_service",IF($H62="Investor Owned",IF(AND(COUNTIF(Parameters!$A$4:$A$33,$G62)&gt;0,COUNTIF(Parameters!$B$4:$B$33,$B62)=0),"procurement","cost_service"),"unclassified"))))))</f>
        <v/>
      </c>
    </row>
    <row r="63">
      <c r="A63" t="n">
        <v>2024</v>
      </c>
      <c r="B63" t="n">
        <v>14455</v>
      </c>
      <c r="C63" t="inlineStr">
        <is>
          <t>City of Paris - (TN)</t>
        </is>
      </c>
      <c r="D63" t="inlineStr">
        <is>
          <t>A</t>
        </is>
      </c>
      <c r="E63" t="inlineStr">
        <is>
          <t>Bundled</t>
        </is>
      </c>
      <c r="F63" t="inlineStr">
        <is>
          <t>O</t>
        </is>
      </c>
      <c r="G63" t="inlineStr">
        <is>
          <t>TN</t>
        </is>
      </c>
      <c r="H63" t="inlineStr">
        <is>
          <t>Municipal</t>
        </is>
      </c>
      <c r="I63" t="inlineStr">
        <is>
          <t>TVA</t>
        </is>
      </c>
      <c r="J63" t="n">
        <v>25131</v>
      </c>
      <c r="K63" t="n">
        <v>217582</v>
      </c>
      <c r="L63" t="n">
        <v>16263</v>
      </c>
      <c r="M63" t="n">
        <v>22301</v>
      </c>
      <c r="N63" t="n">
        <v>185299</v>
      </c>
      <c r="O63" t="n">
        <v>6553</v>
      </c>
      <c r="P63" t="n">
        <v>8921</v>
      </c>
      <c r="Q63" t="n">
        <v>160316</v>
      </c>
      <c r="R63" t="n">
        <v>8</v>
      </c>
      <c r="S63" t="n">
        <v>0</v>
      </c>
      <c r="T63" t="n">
        <v>0</v>
      </c>
      <c r="U63" t="n">
        <v>0</v>
      </c>
      <c r="V63" t="n">
        <v>56353</v>
      </c>
      <c r="W63" t="n">
        <v>563197</v>
      </c>
      <c r="X63" t="n">
        <v>22824</v>
      </c>
      <c r="Y63">
        <f>IF(ISNUMBER($W63),$W63,0)</f>
        <v/>
      </c>
      <c r="Z63">
        <f>IF(ISNUMBER(SEARCH("Adjustment",$C63)),"excluded",IF($H63="Behind the Meter","excluded",IF(NOT(OR($E63="Bundled",$E63="Energy")),"excluded",IF(OR($H63="Retail Power Marketer",$H63="Community Choice Aggregator",$E63="Energy"),"procurement",IF(OR($H63="Municipal",$H63="Cooperative",$H63="Federal",$H63="State",$H63="Political Subdivision"),"cost_service",IF($H63="Investor Owned",IF(AND(COUNTIF(Parameters!$A$4:$A$33,$G63)&gt;0,COUNTIF(Parameters!$B$4:$B$33,$B63)=0),"procurement","cost_service"),"unclassified"))))))</f>
        <v/>
      </c>
    </row>
    <row r="64">
      <c r="A64" t="n">
        <v>2024</v>
      </c>
      <c r="B64" t="n">
        <v>15016</v>
      </c>
      <c r="C64" t="inlineStr">
        <is>
          <t>Pickwick Electric Coop</t>
        </is>
      </c>
      <c r="D64" t="inlineStr">
        <is>
          <t>A</t>
        </is>
      </c>
      <c r="E64" t="inlineStr">
        <is>
          <t>Bundled</t>
        </is>
      </c>
      <c r="F64" t="inlineStr">
        <is>
          <t>O</t>
        </is>
      </c>
      <c r="G64" t="inlineStr">
        <is>
          <t>TN</t>
        </is>
      </c>
      <c r="H64" t="inlineStr">
        <is>
          <t>Cooperative</t>
        </is>
      </c>
      <c r="I64" t="inlineStr">
        <is>
          <t>TVA</t>
        </is>
      </c>
      <c r="J64" t="n">
        <v>30854</v>
      </c>
      <c r="K64" t="n">
        <v>243526</v>
      </c>
      <c r="L64" t="n">
        <v>16609</v>
      </c>
      <c r="M64" t="n">
        <v>17312</v>
      </c>
      <c r="N64" t="n">
        <v>120660</v>
      </c>
      <c r="O64" t="n">
        <v>4889</v>
      </c>
      <c r="P64" t="n">
        <v>1240</v>
      </c>
      <c r="Q64" t="n">
        <v>13376</v>
      </c>
      <c r="R64" t="n">
        <v>2</v>
      </c>
      <c r="S64" t="n">
        <v>0</v>
      </c>
      <c r="T64" t="n">
        <v>0</v>
      </c>
      <c r="U64" t="n">
        <v>0</v>
      </c>
      <c r="V64" t="n">
        <v>49406</v>
      </c>
      <c r="W64" t="n">
        <v>377562</v>
      </c>
      <c r="X64" t="n">
        <v>21500</v>
      </c>
      <c r="Y64">
        <f>IF(ISNUMBER($W64),$W64,0)</f>
        <v/>
      </c>
      <c r="Z64">
        <f>IF(ISNUMBER(SEARCH("Adjustment",$C64)),"excluded",IF($H64="Behind the Meter","excluded",IF(NOT(OR($E64="Bundled",$E64="Energy")),"excluded",IF(OR($H64="Retail Power Marketer",$H64="Community Choice Aggregator",$E64="Energy"),"procurement",IF(OR($H64="Municipal",$H64="Cooperative",$H64="Federal",$H64="State",$H64="Political Subdivision"),"cost_service",IF($H64="Investor Owned",IF(AND(COUNTIF(Parameters!$A$4:$A$33,$G64)&gt;0,COUNTIF(Parameters!$B$4:$B$33,$B64)=0),"procurement","cost_service"),"unclassified"))))))</f>
        <v/>
      </c>
    </row>
    <row r="65">
      <c r="A65" t="n">
        <v>2024</v>
      </c>
      <c r="B65" t="n">
        <v>15141</v>
      </c>
      <c r="C65" t="inlineStr">
        <is>
          <t>Plateau Electric Cooperative</t>
        </is>
      </c>
      <c r="D65" t="inlineStr">
        <is>
          <t>A</t>
        </is>
      </c>
      <c r="E65" t="inlineStr">
        <is>
          <t>Bundled</t>
        </is>
      </c>
      <c r="F65" t="inlineStr">
        <is>
          <t>O</t>
        </is>
      </c>
      <c r="G65" t="inlineStr">
        <is>
          <t>TN</t>
        </is>
      </c>
      <c r="H65" t="inlineStr">
        <is>
          <t>Cooperative</t>
        </is>
      </c>
      <c r="I65" t="inlineStr">
        <is>
          <t>TVA</t>
        </is>
      </c>
      <c r="J65" t="n">
        <v>21576</v>
      </c>
      <c r="K65" t="n">
        <v>163330</v>
      </c>
      <c r="L65" t="n">
        <v>14331</v>
      </c>
      <c r="M65" t="n">
        <v>17315</v>
      </c>
      <c r="N65" t="n">
        <v>132109</v>
      </c>
      <c r="O65" t="n">
        <v>3920</v>
      </c>
      <c r="P65" t="n">
        <v>7218</v>
      </c>
      <c r="Q65" t="n">
        <v>141216</v>
      </c>
      <c r="R65" t="n">
        <v>3</v>
      </c>
      <c r="S65" t="n">
        <v>0</v>
      </c>
      <c r="T65" t="n">
        <v>0</v>
      </c>
      <c r="U65" t="n">
        <v>0</v>
      </c>
      <c r="V65" t="n">
        <v>46109</v>
      </c>
      <c r="W65" t="n">
        <v>436655</v>
      </c>
      <c r="X65" t="n">
        <v>18254</v>
      </c>
      <c r="Y65">
        <f>IF(ISNUMBER($W65),$W65,0)</f>
        <v/>
      </c>
      <c r="Z65">
        <f>IF(ISNUMBER(SEARCH("Adjustment",$C65)),"excluded",IF($H65="Behind the Meter","excluded",IF(NOT(OR($E65="Bundled",$E65="Energy")),"excluded",IF(OR($H65="Retail Power Marketer",$H65="Community Choice Aggregator",$E65="Energy"),"procurement",IF(OR($H65="Municipal",$H65="Cooperative",$H65="Federal",$H65="State",$H65="Political Subdivision"),"cost_service",IF($H65="Investor Owned",IF(AND(COUNTIF(Parameters!$A$4:$A$33,$G65)&gt;0,COUNTIF(Parameters!$B$4:$B$33,$B65)=0),"procurement","cost_service"),"unclassified"))))))</f>
        <v/>
      </c>
    </row>
    <row r="66">
      <c r="A66" t="n">
        <v>2024</v>
      </c>
      <c r="B66" t="n">
        <v>15293</v>
      </c>
      <c r="C66" t="inlineStr">
        <is>
          <t>Powell Valley Electric Coop</t>
        </is>
      </c>
      <c r="D66" t="inlineStr">
        <is>
          <t>A</t>
        </is>
      </c>
      <c r="E66" t="inlineStr">
        <is>
          <t>Bundled</t>
        </is>
      </c>
      <c r="F66" t="inlineStr">
        <is>
          <t>O</t>
        </is>
      </c>
      <c r="G66" t="inlineStr">
        <is>
          <t>TN</t>
        </is>
      </c>
      <c r="H66" t="inlineStr">
        <is>
          <t>Cooperative</t>
        </is>
      </c>
      <c r="I66" t="inlineStr">
        <is>
          <t>TVA</t>
        </is>
      </c>
      <c r="J66" t="n">
        <v>29862</v>
      </c>
      <c r="K66" t="n">
        <v>259807</v>
      </c>
      <c r="L66" t="n">
        <v>21147</v>
      </c>
      <c r="M66" t="n">
        <v>15079</v>
      </c>
      <c r="N66" t="n">
        <v>119103</v>
      </c>
      <c r="O66" t="n">
        <v>5384</v>
      </c>
      <c r="P66" t="n">
        <v>9158</v>
      </c>
      <c r="Q66" t="n">
        <v>157209</v>
      </c>
      <c r="R66" t="n">
        <v>5</v>
      </c>
      <c r="S66" t="n">
        <v>0</v>
      </c>
      <c r="T66" t="n">
        <v>0</v>
      </c>
      <c r="U66" t="n">
        <v>0</v>
      </c>
      <c r="V66" t="n">
        <v>54099</v>
      </c>
      <c r="W66" t="n">
        <v>536119</v>
      </c>
      <c r="X66" t="n">
        <v>26536</v>
      </c>
      <c r="Y66">
        <f>IF(ISNUMBER($W66),$W66,0)</f>
        <v/>
      </c>
      <c r="Z66">
        <f>IF(ISNUMBER(SEARCH("Adjustment",$C66)),"excluded",IF($H66="Behind the Meter","excluded",IF(NOT(OR($E66="Bundled",$E66="Energy")),"excluded",IF(OR($H66="Retail Power Marketer",$H66="Community Choice Aggregator",$E66="Energy"),"procurement",IF(OR($H66="Municipal",$H66="Cooperative",$H66="Federal",$H66="State",$H66="Political Subdivision"),"cost_service",IF($H66="Investor Owned",IF(AND(COUNTIF(Parameters!$A$4:$A$33,$G66)&gt;0,COUNTIF(Parameters!$B$4:$B$33,$B66)=0),"procurement","cost_service"),"unclassified"))))))</f>
        <v/>
      </c>
    </row>
    <row r="67">
      <c r="A67" t="n">
        <v>2024</v>
      </c>
      <c r="B67" t="n">
        <v>15507</v>
      </c>
      <c r="C67" t="inlineStr">
        <is>
          <t>City of Pulaski - (TN)</t>
        </is>
      </c>
      <c r="D67" t="inlineStr">
        <is>
          <t>A</t>
        </is>
      </c>
      <c r="E67" t="inlineStr">
        <is>
          <t>Bundled</t>
        </is>
      </c>
      <c r="F67" t="inlineStr">
        <is>
          <t>O</t>
        </is>
      </c>
      <c r="G67" t="inlineStr">
        <is>
          <t>TN</t>
        </is>
      </c>
      <c r="H67" t="inlineStr">
        <is>
          <t>Municipal</t>
        </is>
      </c>
      <c r="I67" t="inlineStr">
        <is>
          <t>TVA</t>
        </is>
      </c>
      <c r="J67" t="n">
        <v>23437</v>
      </c>
      <c r="K67" t="n">
        <v>176137</v>
      </c>
      <c r="L67" t="n">
        <v>12432</v>
      </c>
      <c r="M67" t="n">
        <v>14385</v>
      </c>
      <c r="N67" t="n">
        <v>107211</v>
      </c>
      <c r="O67" t="n">
        <v>2880</v>
      </c>
      <c r="P67" t="n">
        <v>12937</v>
      </c>
      <c r="Q67" t="n">
        <v>146930</v>
      </c>
      <c r="R67" t="n">
        <v>11</v>
      </c>
      <c r="S67" t="n">
        <v>0</v>
      </c>
      <c r="T67" t="n">
        <v>0</v>
      </c>
      <c r="U67" t="n">
        <v>0</v>
      </c>
      <c r="V67" t="n">
        <v>50759</v>
      </c>
      <c r="W67" t="n">
        <v>430278</v>
      </c>
      <c r="X67" t="n">
        <v>15323</v>
      </c>
      <c r="Y67">
        <f>IF(ISNUMBER($W67),$W67,0)</f>
        <v/>
      </c>
      <c r="Z67">
        <f>IF(ISNUMBER(SEARCH("Adjustment",$C67)),"excluded",IF($H67="Behind the Meter","excluded",IF(NOT(OR($E67="Bundled",$E67="Energy")),"excluded",IF(OR($H67="Retail Power Marketer",$H67="Community Choice Aggregator",$E67="Energy"),"procurement",IF(OR($H67="Municipal",$H67="Cooperative",$H67="Federal",$H67="State",$H67="Political Subdivision"),"cost_service",IF($H67="Investor Owned",IF(AND(COUNTIF(Parameters!$A$4:$A$33,$G67)&gt;0,COUNTIF(Parameters!$B$4:$B$33,$B67)=0),"procurement","cost_service"),"unclassified"))))))</f>
        <v/>
      </c>
    </row>
    <row r="68">
      <c r="A68" t="n">
        <v>2024</v>
      </c>
      <c r="B68" t="n">
        <v>16223</v>
      </c>
      <c r="C68" t="inlineStr">
        <is>
          <t>City of Rockwood - (TN)</t>
        </is>
      </c>
      <c r="D68" t="inlineStr">
        <is>
          <t>A</t>
        </is>
      </c>
      <c r="E68" t="inlineStr">
        <is>
          <t>Bundled</t>
        </is>
      </c>
      <c r="F68" t="inlineStr">
        <is>
          <t>O</t>
        </is>
      </c>
      <c r="G68" t="inlineStr">
        <is>
          <t>TN</t>
        </is>
      </c>
      <c r="H68" t="inlineStr">
        <is>
          <t>Municipal</t>
        </is>
      </c>
      <c r="I68" t="inlineStr">
        <is>
          <t>TVA</t>
        </is>
      </c>
      <c r="J68" t="n">
        <v>21972</v>
      </c>
      <c r="K68" t="n">
        <v>172855</v>
      </c>
      <c r="L68" t="n">
        <v>12042</v>
      </c>
      <c r="M68" t="n">
        <v>12356</v>
      </c>
      <c r="N68" t="n">
        <v>88881</v>
      </c>
      <c r="O68" t="n">
        <v>3388</v>
      </c>
      <c r="P68" t="n">
        <v>2029</v>
      </c>
      <c r="Q68" t="n">
        <v>26471</v>
      </c>
      <c r="R68" t="n">
        <v>5</v>
      </c>
      <c r="S68" t="n">
        <v>0</v>
      </c>
      <c r="T68" t="n">
        <v>0</v>
      </c>
      <c r="U68" t="n">
        <v>0</v>
      </c>
      <c r="V68" t="n">
        <v>36357</v>
      </c>
      <c r="W68" t="n">
        <v>288207</v>
      </c>
      <c r="X68" t="n">
        <v>15435</v>
      </c>
      <c r="Y68">
        <f>IF(ISNUMBER($W68),$W68,0)</f>
        <v/>
      </c>
      <c r="Z68">
        <f>IF(ISNUMBER(SEARCH("Adjustment",$C68)),"excluded",IF($H68="Behind the Meter","excluded",IF(NOT(OR($E68="Bundled",$E68="Energy")),"excluded",IF(OR($H68="Retail Power Marketer",$H68="Community Choice Aggregator",$E68="Energy"),"procurement",IF(OR($H68="Municipal",$H68="Cooperative",$H68="Federal",$H68="State",$H68="Political Subdivision"),"cost_service",IF($H68="Investor Owned",IF(AND(COUNTIF(Parameters!$A$4:$A$33,$G68)&gt;0,COUNTIF(Parameters!$B$4:$B$33,$B68)=0),"procurement","cost_service"),"unclassified"))))))</f>
        <v/>
      </c>
    </row>
    <row r="69">
      <c r="A69" t="n">
        <v>2024</v>
      </c>
      <c r="B69" t="n">
        <v>16930</v>
      </c>
      <c r="C69" t="inlineStr">
        <is>
          <t>Sequachee Valley Electric Coop</t>
        </is>
      </c>
      <c r="D69" t="inlineStr">
        <is>
          <t>A</t>
        </is>
      </c>
      <c r="E69" t="inlineStr">
        <is>
          <t>Bundled</t>
        </is>
      </c>
      <c r="F69" t="inlineStr">
        <is>
          <t>O</t>
        </is>
      </c>
      <c r="G69" t="inlineStr">
        <is>
          <t>TN</t>
        </is>
      </c>
      <c r="H69" t="inlineStr">
        <is>
          <t>Cooperative</t>
        </is>
      </c>
      <c r="I69" t="inlineStr">
        <is>
          <t>TVA</t>
        </is>
      </c>
      <c r="J69" t="n">
        <v>59074</v>
      </c>
      <c r="K69" t="n">
        <v>455551</v>
      </c>
      <c r="L69" t="n">
        <v>33206</v>
      </c>
      <c r="M69" t="n">
        <v>33406</v>
      </c>
      <c r="N69" t="n">
        <v>270051</v>
      </c>
      <c r="O69" t="n">
        <v>6072</v>
      </c>
      <c r="P69" t="n">
        <v>10848</v>
      </c>
      <c r="Q69" t="n">
        <v>130459</v>
      </c>
      <c r="R69" t="n">
        <v>6</v>
      </c>
      <c r="S69" t="n">
        <v>0</v>
      </c>
      <c r="T69" t="n">
        <v>0</v>
      </c>
      <c r="U69" t="n">
        <v>0</v>
      </c>
      <c r="V69" t="n">
        <v>103328</v>
      </c>
      <c r="W69" t="n">
        <v>856061</v>
      </c>
      <c r="X69" t="n">
        <v>39284</v>
      </c>
      <c r="Y69">
        <f>IF(ISNUMBER($W69),$W69,0)</f>
        <v/>
      </c>
      <c r="Z69">
        <f>IF(ISNUMBER(SEARCH("Adjustment",$C69)),"excluded",IF($H69="Behind the Meter","excluded",IF(NOT(OR($E69="Bundled",$E69="Energy")),"excluded",IF(OR($H69="Retail Power Marketer",$H69="Community Choice Aggregator",$E69="Energy"),"procurement",IF(OR($H69="Municipal",$H69="Cooperative",$H69="Federal",$H69="State",$H69="Political Subdivision"),"cost_service",IF($H69="Investor Owned",IF(AND(COUNTIF(Parameters!$A$4:$A$33,$G69)&gt;0,COUNTIF(Parameters!$B$4:$B$33,$B69)=0),"procurement","cost_service"),"unclassified"))))))</f>
        <v/>
      </c>
    </row>
    <row r="70">
      <c r="A70" t="n">
        <v>2024</v>
      </c>
      <c r="B70" t="n">
        <v>16949</v>
      </c>
      <c r="C70" t="inlineStr">
        <is>
          <t>Sevier County Electric System</t>
        </is>
      </c>
      <c r="D70" t="inlineStr">
        <is>
          <t>A</t>
        </is>
      </c>
      <c r="E70" t="inlineStr">
        <is>
          <t>Bundled</t>
        </is>
      </c>
      <c r="F70" t="inlineStr">
        <is>
          <t>O</t>
        </is>
      </c>
      <c r="G70" t="inlineStr">
        <is>
          <t>TN</t>
        </is>
      </c>
      <c r="H70" t="inlineStr">
        <is>
          <t>Municipal</t>
        </is>
      </c>
      <c r="I70" t="inlineStr">
        <is>
          <t>TVA</t>
        </is>
      </c>
      <c r="J70" t="n">
        <v>54866</v>
      </c>
      <c r="K70" t="n">
        <v>484327</v>
      </c>
      <c r="L70" t="n">
        <v>35626</v>
      </c>
      <c r="M70" t="n">
        <v>130336</v>
      </c>
      <c r="N70" t="n">
        <v>1118298</v>
      </c>
      <c r="O70" t="n">
        <v>27875</v>
      </c>
      <c r="P70" t="n">
        <v>3624</v>
      </c>
      <c r="Q70" t="n">
        <v>55201</v>
      </c>
      <c r="R70" t="n">
        <v>5</v>
      </c>
      <c r="S70" t="n">
        <v>0</v>
      </c>
      <c r="T70" t="n">
        <v>0</v>
      </c>
      <c r="U70" t="n">
        <v>0</v>
      </c>
      <c r="V70" t="n">
        <v>188826</v>
      </c>
      <c r="W70" t="n">
        <v>1657826</v>
      </c>
      <c r="X70" t="n">
        <v>63506</v>
      </c>
      <c r="Y70">
        <f>IF(ISNUMBER($W70),$W70,0)</f>
        <v/>
      </c>
      <c r="Z70">
        <f>IF(ISNUMBER(SEARCH("Adjustment",$C70)),"excluded",IF($H70="Behind the Meter","excluded",IF(NOT(OR($E70="Bundled",$E70="Energy")),"excluded",IF(OR($H70="Retail Power Marketer",$H70="Community Choice Aggregator",$E70="Energy"),"procurement",IF(OR($H70="Municipal",$H70="Cooperative",$H70="Federal",$H70="State",$H70="Political Subdivision"),"cost_service",IF($H70="Investor Owned",IF(AND(COUNTIF(Parameters!$A$4:$A$33,$G70)&gt;0,COUNTIF(Parameters!$B$4:$B$33,$B70)=0),"procurement","cost_service"),"unclassified"))))))</f>
        <v/>
      </c>
    </row>
    <row r="71">
      <c r="A71" t="n">
        <v>2024</v>
      </c>
      <c r="B71" t="n">
        <v>17047</v>
      </c>
      <c r="C71" t="inlineStr">
        <is>
          <t>City of Shelbyville - (TN)</t>
        </is>
      </c>
      <c r="D71" t="inlineStr">
        <is>
          <t>A</t>
        </is>
      </c>
      <c r="E71" t="inlineStr">
        <is>
          <t>Bundled</t>
        </is>
      </c>
      <c r="F71" t="inlineStr">
        <is>
          <t>O</t>
        </is>
      </c>
      <c r="G71" t="inlineStr">
        <is>
          <t>TN</t>
        </is>
      </c>
      <c r="H71" t="inlineStr">
        <is>
          <t>Municipal</t>
        </is>
      </c>
      <c r="I71" t="inlineStr">
        <is>
          <t>TVA</t>
        </is>
      </c>
      <c r="J71" t="n">
        <v>14880</v>
      </c>
      <c r="K71" t="n">
        <v>131389</v>
      </c>
      <c r="L71" t="n">
        <v>9877</v>
      </c>
      <c r="M71" t="n">
        <v>15390</v>
      </c>
      <c r="N71" t="n">
        <v>133061</v>
      </c>
      <c r="O71" t="n">
        <v>1863</v>
      </c>
      <c r="P71" t="n">
        <v>6812</v>
      </c>
      <c r="Q71" t="n">
        <v>94363</v>
      </c>
      <c r="R71" t="n">
        <v>6</v>
      </c>
      <c r="S71" t="n">
        <v>0</v>
      </c>
      <c r="T71" t="n">
        <v>0</v>
      </c>
      <c r="U71" t="n">
        <v>0</v>
      </c>
      <c r="V71" t="n">
        <v>37082</v>
      </c>
      <c r="W71" t="n">
        <v>358813</v>
      </c>
      <c r="X71" t="n">
        <v>11746</v>
      </c>
      <c r="Y71">
        <f>IF(ISNUMBER($W71),$W71,0)</f>
        <v/>
      </c>
      <c r="Z71">
        <f>IF(ISNUMBER(SEARCH("Adjustment",$C71)),"excluded",IF($H71="Behind the Meter","excluded",IF(NOT(OR($E71="Bundled",$E71="Energy")),"excluded",IF(OR($H71="Retail Power Marketer",$H71="Community Choice Aggregator",$E71="Energy"),"procurement",IF(OR($H71="Municipal",$H71="Cooperative",$H71="Federal",$H71="State",$H71="Political Subdivision"),"cost_service",IF($H71="Investor Owned",IF(AND(COUNTIF(Parameters!$A$4:$A$33,$G71)&gt;0,COUNTIF(Parameters!$B$4:$B$33,$B71)=0),"procurement","cost_service"),"unclassified"))))))</f>
        <v/>
      </c>
    </row>
    <row r="72">
      <c r="A72" t="n">
        <v>2024</v>
      </c>
      <c r="B72" t="n">
        <v>17452</v>
      </c>
      <c r="C72" t="inlineStr">
        <is>
          <t>City of Smithville - (TN)</t>
        </is>
      </c>
      <c r="D72" t="inlineStr">
        <is>
          <t>A</t>
        </is>
      </c>
      <c r="E72" t="inlineStr">
        <is>
          <t>Bundled</t>
        </is>
      </c>
      <c r="F72" t="inlineStr">
        <is>
          <t>O</t>
        </is>
      </c>
      <c r="G72" t="inlineStr">
        <is>
          <t>TN</t>
        </is>
      </c>
      <c r="H72" t="inlineStr">
        <is>
          <t>Municipal</t>
        </is>
      </c>
      <c r="I72" t="inlineStr">
        <is>
          <t>TVA</t>
        </is>
      </c>
      <c r="J72" t="n">
        <v>3179</v>
      </c>
      <c r="K72" t="n">
        <v>26250</v>
      </c>
      <c r="L72" t="n">
        <v>2408</v>
      </c>
      <c r="M72" t="n">
        <v>5534</v>
      </c>
      <c r="N72" t="n">
        <v>44203</v>
      </c>
      <c r="O72" t="n">
        <v>640</v>
      </c>
      <c r="P72" t="n">
        <v>2528</v>
      </c>
      <c r="Q72" t="n">
        <v>41750</v>
      </c>
      <c r="R72" t="n">
        <v>3</v>
      </c>
      <c r="S72" t="n">
        <v>0</v>
      </c>
      <c r="T72" t="n">
        <v>0</v>
      </c>
      <c r="U72" t="n">
        <v>0</v>
      </c>
      <c r="V72" t="n">
        <v>11241</v>
      </c>
      <c r="W72" t="n">
        <v>112203</v>
      </c>
      <c r="X72" t="n">
        <v>3051</v>
      </c>
      <c r="Y72">
        <f>IF(ISNUMBER($W72),$W72,0)</f>
        <v/>
      </c>
      <c r="Z72">
        <f>IF(ISNUMBER(SEARCH("Adjustment",$C72)),"excluded",IF($H72="Behind the Meter","excluded",IF(NOT(OR($E72="Bundled",$E72="Energy")),"excluded",IF(OR($H72="Retail Power Marketer",$H72="Community Choice Aggregator",$E72="Energy"),"procurement",IF(OR($H72="Municipal",$H72="Cooperative",$H72="Federal",$H72="State",$H72="Political Subdivision"),"cost_service",IF($H72="Investor Owned",IF(AND(COUNTIF(Parameters!$A$4:$A$33,$G72)&gt;0,COUNTIF(Parameters!$B$4:$B$33,$B72)=0),"procurement","cost_service"),"unclassified"))))))</f>
        <v/>
      </c>
    </row>
    <row r="73">
      <c r="A73" t="n">
        <v>2024</v>
      </c>
      <c r="B73" t="n">
        <v>17564</v>
      </c>
      <c r="C73" t="inlineStr">
        <is>
          <t>South Kentucky Rural E C C</t>
        </is>
      </c>
      <c r="D73" t="inlineStr">
        <is>
          <t>A</t>
        </is>
      </c>
      <c r="E73" t="inlineStr">
        <is>
          <t>Bundled</t>
        </is>
      </c>
      <c r="F73" t="inlineStr">
        <is>
          <t>O</t>
        </is>
      </c>
      <c r="G73" t="inlineStr">
        <is>
          <t>TN</t>
        </is>
      </c>
      <c r="H73" t="inlineStr">
        <is>
          <t>Cooperative</t>
        </is>
      </c>
      <c r="I73" t="inlineStr">
        <is>
          <t>PJM</t>
        </is>
      </c>
      <c r="J73" t="n">
        <v>193</v>
      </c>
      <c r="K73" t="n">
        <v>1402</v>
      </c>
      <c r="L73" t="n">
        <v>152</v>
      </c>
      <c r="M73" t="n">
        <v>93</v>
      </c>
      <c r="N73" t="n">
        <v>671</v>
      </c>
      <c r="O73" t="n">
        <v>31</v>
      </c>
      <c r="P73" t="n">
        <v>63</v>
      </c>
      <c r="Q73" t="n">
        <v>383</v>
      </c>
      <c r="R73" t="n">
        <v>2</v>
      </c>
      <c r="S73" t="n">
        <v>0</v>
      </c>
      <c r="T73" t="n">
        <v>0</v>
      </c>
      <c r="U73" t="n">
        <v>0</v>
      </c>
      <c r="V73" t="n">
        <v>349</v>
      </c>
      <c r="W73" t="n">
        <v>2456</v>
      </c>
      <c r="X73" t="n">
        <v>185</v>
      </c>
      <c r="Y73">
        <f>IF(ISNUMBER($W73),$W73,0)</f>
        <v/>
      </c>
      <c r="Z73">
        <f>IF(ISNUMBER(SEARCH("Adjustment",$C73)),"excluded",IF($H73="Behind the Meter","excluded",IF(NOT(OR($E73="Bundled",$E73="Energy")),"excluded",IF(OR($H73="Retail Power Marketer",$H73="Community Choice Aggregator",$E73="Energy"),"procurement",IF(OR($H73="Municipal",$H73="Cooperative",$H73="Federal",$H73="State",$H73="Political Subdivision"),"cost_service",IF($H73="Investor Owned",IF(AND(COUNTIF(Parameters!$A$4:$A$33,$G73)&gt;0,COUNTIF(Parameters!$B$4:$B$33,$B73)=0),"procurement","cost_service"),"unclassified"))))))</f>
        <v/>
      </c>
    </row>
    <row r="74">
      <c r="A74" t="n">
        <v>2024</v>
      </c>
      <c r="B74" t="n">
        <v>17694</v>
      </c>
      <c r="C74" t="inlineStr">
        <is>
          <t>Southwest Tennessee E M C</t>
        </is>
      </c>
      <c r="D74" t="inlineStr">
        <is>
          <t>A</t>
        </is>
      </c>
      <c r="E74" t="inlineStr">
        <is>
          <t>Bundled</t>
        </is>
      </c>
      <c r="F74" t="inlineStr">
        <is>
          <t>O</t>
        </is>
      </c>
      <c r="G74" t="inlineStr">
        <is>
          <t>TN</t>
        </is>
      </c>
      <c r="H74" t="inlineStr">
        <is>
          <t>Cooperative</t>
        </is>
      </c>
      <c r="I74" t="inlineStr">
        <is>
          <t>TVA</t>
        </is>
      </c>
      <c r="J74" t="n">
        <v>87419</v>
      </c>
      <c r="K74" t="n">
        <v>677417</v>
      </c>
      <c r="L74" t="n">
        <v>43750</v>
      </c>
      <c r="M74" t="n">
        <v>34189</v>
      </c>
      <c r="N74" t="n">
        <v>238284</v>
      </c>
      <c r="O74" t="n">
        <v>8602</v>
      </c>
      <c r="P74" t="n">
        <v>1184</v>
      </c>
      <c r="Q74" t="n">
        <v>17304</v>
      </c>
      <c r="R74" t="n">
        <v>1</v>
      </c>
      <c r="S74" t="n">
        <v>0</v>
      </c>
      <c r="T74" t="n">
        <v>0</v>
      </c>
      <c r="U74" t="n">
        <v>0</v>
      </c>
      <c r="V74" t="n">
        <v>122792</v>
      </c>
      <c r="W74" t="n">
        <v>933005</v>
      </c>
      <c r="X74" t="n">
        <v>52353</v>
      </c>
      <c r="Y74">
        <f>IF(ISNUMBER($W74),$W74,0)</f>
        <v/>
      </c>
      <c r="Z74">
        <f>IF(ISNUMBER(SEARCH("Adjustment",$C74)),"excluded",IF($H74="Behind the Meter","excluded",IF(NOT(OR($E74="Bundled",$E74="Energy")),"excluded",IF(OR($H74="Retail Power Marketer",$H74="Community Choice Aggregator",$E74="Energy"),"procurement",IF(OR($H74="Municipal",$H74="Cooperative",$H74="Federal",$H74="State",$H74="Political Subdivision"),"cost_service",IF($H74="Investor Owned",IF(AND(COUNTIF(Parameters!$A$4:$A$33,$G74)&gt;0,COUNTIF(Parameters!$B$4:$B$33,$B74)=0),"procurement","cost_service"),"unclassified"))))))</f>
        <v/>
      </c>
    </row>
    <row r="75">
      <c r="A75" t="n">
        <v>2024</v>
      </c>
      <c r="B75" t="n">
        <v>17740</v>
      </c>
      <c r="C75" t="inlineStr">
        <is>
          <t>City of Sparta</t>
        </is>
      </c>
      <c r="D75" t="inlineStr">
        <is>
          <t>A</t>
        </is>
      </c>
      <c r="E75" t="inlineStr">
        <is>
          <t>Bundled</t>
        </is>
      </c>
      <c r="F75" t="inlineStr">
        <is>
          <t>O</t>
        </is>
      </c>
      <c r="G75" t="inlineStr">
        <is>
          <t>TN</t>
        </is>
      </c>
      <c r="H75" t="inlineStr">
        <is>
          <t>Municipal</t>
        </is>
      </c>
      <c r="I75" t="inlineStr">
        <is>
          <t>TVA</t>
        </is>
      </c>
      <c r="J75" t="n">
        <v>3066</v>
      </c>
      <c r="K75" t="n">
        <v>25681</v>
      </c>
      <c r="L75" t="n">
        <v>2258</v>
      </c>
      <c r="M75" t="n">
        <v>5638</v>
      </c>
      <c r="N75" t="n">
        <v>47364</v>
      </c>
      <c r="O75" t="n">
        <v>830</v>
      </c>
      <c r="P75" t="n">
        <v>4138</v>
      </c>
      <c r="Q75" t="n">
        <v>50022</v>
      </c>
      <c r="R75" t="n">
        <v>4</v>
      </c>
      <c r="S75" t="n">
        <v>0</v>
      </c>
      <c r="T75" t="n">
        <v>0</v>
      </c>
      <c r="U75" t="n">
        <v>0</v>
      </c>
      <c r="V75" t="n">
        <v>12842</v>
      </c>
      <c r="W75" t="n">
        <v>123067</v>
      </c>
      <c r="X75" t="n">
        <v>3092</v>
      </c>
      <c r="Y75">
        <f>IF(ISNUMBER($W75),$W75,0)</f>
        <v/>
      </c>
      <c r="Z75">
        <f>IF(ISNUMBER(SEARCH("Adjustment",$C75)),"excluded",IF($H75="Behind the Meter","excluded",IF(NOT(OR($E75="Bundled",$E75="Energy")),"excluded",IF(OR($H75="Retail Power Marketer",$H75="Community Choice Aggregator",$E75="Energy"),"procurement",IF(OR($H75="Municipal",$H75="Cooperative",$H75="Federal",$H75="State",$H75="Political Subdivision"),"cost_service",IF($H75="Investor Owned",IF(AND(COUNTIF(Parameters!$A$4:$A$33,$G75)&gt;0,COUNTIF(Parameters!$B$4:$B$33,$B75)=0),"procurement","cost_service"),"unclassified"))))))</f>
        <v/>
      </c>
    </row>
    <row r="76">
      <c r="A76" t="n">
        <v>2024</v>
      </c>
      <c r="B76" t="n">
        <v>17829</v>
      </c>
      <c r="C76" t="inlineStr">
        <is>
          <t>City of Springfield - (TN)</t>
        </is>
      </c>
      <c r="D76" t="inlineStr">
        <is>
          <t>A</t>
        </is>
      </c>
      <c r="E76" t="inlineStr">
        <is>
          <t>Bundled</t>
        </is>
      </c>
      <c r="F76" t="inlineStr">
        <is>
          <t>O</t>
        </is>
      </c>
      <c r="G76" t="inlineStr">
        <is>
          <t>TN</t>
        </is>
      </c>
      <c r="H76" t="inlineStr">
        <is>
          <t>Municipal</t>
        </is>
      </c>
      <c r="I76" t="inlineStr">
        <is>
          <t>TVA</t>
        </is>
      </c>
      <c r="J76" t="n">
        <v>11338</v>
      </c>
      <c r="K76" t="n">
        <v>98887</v>
      </c>
      <c r="L76" t="n">
        <v>7675</v>
      </c>
      <c r="M76" t="n">
        <v>11259</v>
      </c>
      <c r="N76" t="n">
        <v>118479</v>
      </c>
      <c r="O76" t="n">
        <v>1463</v>
      </c>
      <c r="P76" t="n">
        <v>4212</v>
      </c>
      <c r="Q76" t="n">
        <v>70841</v>
      </c>
      <c r="R76" t="n">
        <v>6</v>
      </c>
      <c r="S76" t="n">
        <v>0</v>
      </c>
      <c r="T76" t="n">
        <v>0</v>
      </c>
      <c r="U76" t="n">
        <v>0</v>
      </c>
      <c r="V76" t="n">
        <v>26809</v>
      </c>
      <c r="W76" t="n">
        <v>288207</v>
      </c>
      <c r="X76" t="n">
        <v>9144</v>
      </c>
      <c r="Y76">
        <f>IF(ISNUMBER($W76),$W76,0)</f>
        <v/>
      </c>
      <c r="Z76">
        <f>IF(ISNUMBER(SEARCH("Adjustment",$C76)),"excluded",IF($H76="Behind the Meter","excluded",IF(NOT(OR($E76="Bundled",$E76="Energy")),"excluded",IF(OR($H76="Retail Power Marketer",$H76="Community Choice Aggregator",$E76="Energy"),"procurement",IF(OR($H76="Municipal",$H76="Cooperative",$H76="Federal",$H76="State",$H76="Political Subdivision"),"cost_service",IF($H76="Investor Owned",IF(AND(COUNTIF(Parameters!$A$4:$A$33,$G76)&gt;0,COUNTIF(Parameters!$B$4:$B$33,$B76)=0),"procurement","cost_service"),"unclassified"))))))</f>
        <v/>
      </c>
    </row>
    <row r="77">
      <c r="A77" t="n">
        <v>2024</v>
      </c>
      <c r="B77" t="n">
        <v>18384</v>
      </c>
      <c r="C77" t="inlineStr">
        <is>
          <t>City of Sweetwater</t>
        </is>
      </c>
      <c r="D77" t="inlineStr">
        <is>
          <t>A</t>
        </is>
      </c>
      <c r="E77" t="inlineStr">
        <is>
          <t>Bundled</t>
        </is>
      </c>
      <c r="F77" t="inlineStr">
        <is>
          <t>O</t>
        </is>
      </c>
      <c r="G77" t="inlineStr">
        <is>
          <t>TN</t>
        </is>
      </c>
      <c r="H77" t="inlineStr">
        <is>
          <t>Municipal</t>
        </is>
      </c>
      <c r="I77" t="inlineStr">
        <is>
          <t>TVA</t>
        </is>
      </c>
      <c r="J77" t="n">
        <v>13451</v>
      </c>
      <c r="K77" t="n">
        <v>115794</v>
      </c>
      <c r="L77" t="n">
        <v>7534</v>
      </c>
      <c r="M77" t="n">
        <v>9958</v>
      </c>
      <c r="N77" t="n">
        <v>82018</v>
      </c>
      <c r="O77" t="n">
        <v>2332</v>
      </c>
      <c r="P77" t="n">
        <v>4612</v>
      </c>
      <c r="Q77" t="n">
        <v>51510</v>
      </c>
      <c r="R77" t="n">
        <v>4</v>
      </c>
      <c r="S77" t="n">
        <v>0</v>
      </c>
      <c r="T77" t="n">
        <v>0</v>
      </c>
      <c r="U77" t="n">
        <v>0</v>
      </c>
      <c r="V77" t="n">
        <v>28021</v>
      </c>
      <c r="W77" t="n">
        <v>249322</v>
      </c>
      <c r="X77" t="n">
        <v>9870</v>
      </c>
      <c r="Y77">
        <f>IF(ISNUMBER($W77),$W77,0)</f>
        <v/>
      </c>
      <c r="Z77">
        <f>IF(ISNUMBER(SEARCH("Adjustment",$C77)),"excluded",IF($H77="Behind the Meter","excluded",IF(NOT(OR($E77="Bundled",$E77="Energy")),"excluded",IF(OR($H77="Retail Power Marketer",$H77="Community Choice Aggregator",$E77="Energy"),"procurement",IF(OR($H77="Municipal",$H77="Cooperative",$H77="Federal",$H77="State",$H77="Political Subdivision"),"cost_service",IF($H77="Investor Owned",IF(AND(COUNTIF(Parameters!$A$4:$A$33,$G77)&gt;0,COUNTIF(Parameters!$B$4:$B$33,$B77)=0),"procurement","cost_service"),"unclassified"))))))</f>
        <v/>
      </c>
    </row>
    <row r="78">
      <c r="A78" t="n">
        <v>2024</v>
      </c>
      <c r="B78" t="n">
        <v>18642</v>
      </c>
      <c r="C78" t="inlineStr">
        <is>
          <t>Tennessee Valley Authority</t>
        </is>
      </c>
      <c r="D78" t="inlineStr">
        <is>
          <t>A</t>
        </is>
      </c>
      <c r="E78" t="inlineStr">
        <is>
          <t>Bundled</t>
        </is>
      </c>
      <c r="F78" t="inlineStr">
        <is>
          <t>O</t>
        </is>
      </c>
      <c r="G78" t="inlineStr">
        <is>
          <t>TN</t>
        </is>
      </c>
      <c r="H78" t="inlineStr">
        <is>
          <t>Federal</t>
        </is>
      </c>
      <c r="I78" t="inlineStr">
        <is>
          <t>TVA</t>
        </is>
      </c>
      <c r="J78" t="n">
        <v>0</v>
      </c>
      <c r="K78" t="n">
        <v>0</v>
      </c>
      <c r="L78" t="n">
        <v>0</v>
      </c>
      <c r="M78" t="n">
        <v>26751.8</v>
      </c>
      <c r="N78" t="n">
        <v>390077</v>
      </c>
      <c r="O78" t="n">
        <v>4</v>
      </c>
      <c r="P78" t="n">
        <v>323844.9</v>
      </c>
      <c r="Q78" t="n">
        <v>6613538</v>
      </c>
      <c r="R78" t="n">
        <v>20</v>
      </c>
      <c r="S78" t="n">
        <v>0</v>
      </c>
      <c r="T78" t="n">
        <v>0</v>
      </c>
      <c r="U78" t="n">
        <v>0</v>
      </c>
      <c r="V78" t="n">
        <v>350596.7</v>
      </c>
      <c r="W78" t="n">
        <v>7003615</v>
      </c>
      <c r="X78" t="n">
        <v>24</v>
      </c>
      <c r="Y78">
        <f>IF(ISNUMBER($W78),$W78,0)</f>
        <v/>
      </c>
      <c r="Z78">
        <f>IF(ISNUMBER(SEARCH("Adjustment",$C78)),"excluded",IF($H78="Behind the Meter","excluded",IF(NOT(OR($E78="Bundled",$E78="Energy")),"excluded",IF(OR($H78="Retail Power Marketer",$H78="Community Choice Aggregator",$E78="Energy"),"procurement",IF(OR($H78="Municipal",$H78="Cooperative",$H78="Federal",$H78="State",$H78="Political Subdivision"),"cost_service",IF($H78="Investor Owned",IF(AND(COUNTIF(Parameters!$A$4:$A$33,$G78)&gt;0,COUNTIF(Parameters!$B$4:$B$33,$B78)=0),"procurement","cost_service"),"unclassified"))))))</f>
        <v/>
      </c>
    </row>
    <row r="79">
      <c r="A79" t="n">
        <v>2024</v>
      </c>
      <c r="B79" t="n">
        <v>18643</v>
      </c>
      <c r="C79" t="inlineStr">
        <is>
          <t>Tennessee Valley Electric Coop</t>
        </is>
      </c>
      <c r="D79" t="inlineStr">
        <is>
          <t>A</t>
        </is>
      </c>
      <c r="E79" t="inlineStr">
        <is>
          <t>Bundled</t>
        </is>
      </c>
      <c r="F79" t="inlineStr">
        <is>
          <t>O</t>
        </is>
      </c>
      <c r="G79" t="inlineStr">
        <is>
          <t>TN</t>
        </is>
      </c>
      <c r="H79" t="inlineStr">
        <is>
          <t>Cooperative</t>
        </is>
      </c>
      <c r="I79" t="inlineStr">
        <is>
          <t>TVA</t>
        </is>
      </c>
      <c r="J79" t="n">
        <v>27509</v>
      </c>
      <c r="K79" t="n">
        <v>221627</v>
      </c>
      <c r="L79" t="n">
        <v>16804</v>
      </c>
      <c r="M79" t="n">
        <v>19336</v>
      </c>
      <c r="N79" t="n">
        <v>152368</v>
      </c>
      <c r="O79" t="n">
        <v>4119</v>
      </c>
      <c r="P79" t="n">
        <v>729</v>
      </c>
      <c r="Q79" t="n">
        <v>8689</v>
      </c>
      <c r="R79" t="n">
        <v>1</v>
      </c>
      <c r="S79" t="n">
        <v>0</v>
      </c>
      <c r="T79" t="n">
        <v>0</v>
      </c>
      <c r="U79" t="n">
        <v>0</v>
      </c>
      <c r="V79" t="n">
        <v>47574</v>
      </c>
      <c r="W79" t="n">
        <v>382684</v>
      </c>
      <c r="X79" t="n">
        <v>20924</v>
      </c>
      <c r="Y79">
        <f>IF(ISNUMBER($W79),$W79,0)</f>
        <v/>
      </c>
      <c r="Z79">
        <f>IF(ISNUMBER(SEARCH("Adjustment",$C79)),"excluded",IF($H79="Behind the Meter","excluded",IF(NOT(OR($E79="Bundled",$E79="Energy")),"excluded",IF(OR($H79="Retail Power Marketer",$H79="Community Choice Aggregator",$E79="Energy"),"procurement",IF(OR($H79="Municipal",$H79="Cooperative",$H79="Federal",$H79="State",$H79="Political Subdivision"),"cost_service",IF($H79="Investor Owned",IF(AND(COUNTIF(Parameters!$A$4:$A$33,$G79)&gt;0,COUNTIF(Parameters!$B$4:$B$33,$B79)=0),"procurement","cost_service"),"unclassified"))))))</f>
        <v/>
      </c>
    </row>
    <row r="80">
      <c r="A80" t="n">
        <v>2024</v>
      </c>
      <c r="B80" t="n">
        <v>19149</v>
      </c>
      <c r="C80" t="inlineStr">
        <is>
          <t>City of Trenton - (TN)</t>
        </is>
      </c>
      <c r="D80" t="inlineStr">
        <is>
          <t>A</t>
        </is>
      </c>
      <c r="E80" t="inlineStr">
        <is>
          <t>Bundled</t>
        </is>
      </c>
      <c r="F80" t="inlineStr">
        <is>
          <t>O</t>
        </is>
      </c>
      <c r="G80" t="inlineStr">
        <is>
          <t>TN</t>
        </is>
      </c>
      <c r="H80" t="inlineStr">
        <is>
          <t>Municipal</t>
        </is>
      </c>
      <c r="I80" t="inlineStr">
        <is>
          <t>TVA</t>
        </is>
      </c>
      <c r="J80" t="n">
        <v>2961</v>
      </c>
      <c r="K80" t="n">
        <v>22998</v>
      </c>
      <c r="L80" t="n">
        <v>1956</v>
      </c>
      <c r="M80" t="n">
        <v>3671</v>
      </c>
      <c r="N80" t="n">
        <v>29503</v>
      </c>
      <c r="O80" t="n">
        <v>506</v>
      </c>
      <c r="P80" t="n">
        <v>686</v>
      </c>
      <c r="Q80" t="n">
        <v>8595</v>
      </c>
      <c r="R80" t="n">
        <v>1</v>
      </c>
      <c r="S80" t="n">
        <v>0</v>
      </c>
      <c r="T80" t="n">
        <v>0</v>
      </c>
      <c r="U80" t="n">
        <v>0</v>
      </c>
      <c r="V80" t="n">
        <v>7318</v>
      </c>
      <c r="W80" t="n">
        <v>61096</v>
      </c>
      <c r="X80" t="n">
        <v>2463</v>
      </c>
      <c r="Y80">
        <f>IF(ISNUMBER($W80),$W80,0)</f>
        <v/>
      </c>
      <c r="Z80">
        <f>IF(ISNUMBER(SEARCH("Adjustment",$C80)),"excluded",IF($H80="Behind the Meter","excluded",IF(NOT(OR($E80="Bundled",$E80="Energy")),"excluded",IF(OR($H80="Retail Power Marketer",$H80="Community Choice Aggregator",$E80="Energy"),"procurement",IF(OR($H80="Municipal",$H80="Cooperative",$H80="Federal",$H80="State",$H80="Political Subdivision"),"cost_service",IF($H80="Investor Owned",IF(AND(COUNTIF(Parameters!$A$4:$A$33,$G80)&gt;0,COUNTIF(Parameters!$B$4:$B$33,$B80)=0),"procurement","cost_service"),"unclassified"))))))</f>
        <v/>
      </c>
    </row>
    <row r="81">
      <c r="A81" t="n">
        <v>2024</v>
      </c>
      <c r="B81" t="n">
        <v>19154</v>
      </c>
      <c r="C81" t="inlineStr">
        <is>
          <t>Tri-State Electric Member Corp</t>
        </is>
      </c>
      <c r="D81" t="inlineStr">
        <is>
          <t>A</t>
        </is>
      </c>
      <c r="E81" t="inlineStr">
        <is>
          <t>Bundled</t>
        </is>
      </c>
      <c r="F81" t="inlineStr">
        <is>
          <t>O</t>
        </is>
      </c>
      <c r="G81" t="inlineStr">
        <is>
          <t>TN</t>
        </is>
      </c>
      <c r="H81" t="inlineStr">
        <is>
          <t>Cooperative</t>
        </is>
      </c>
      <c r="I81" t="inlineStr">
        <is>
          <t>TVA</t>
        </is>
      </c>
      <c r="J81" t="n">
        <v>4808</v>
      </c>
      <c r="K81" t="n">
        <v>34265</v>
      </c>
      <c r="L81" t="n">
        <v>2812</v>
      </c>
      <c r="M81" t="n">
        <v>2178</v>
      </c>
      <c r="N81" t="n">
        <v>14413</v>
      </c>
      <c r="O81" t="n">
        <v>638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6986</v>
      </c>
      <c r="W81" t="n">
        <v>48678</v>
      </c>
      <c r="X81" t="n">
        <v>3450</v>
      </c>
      <c r="Y81">
        <f>IF(ISNUMBER($W81),$W81,0)</f>
        <v/>
      </c>
      <c r="Z81">
        <f>IF(ISNUMBER(SEARCH("Adjustment",$C81)),"excluded",IF($H81="Behind the Meter","excluded",IF(NOT(OR($E81="Bundled",$E81="Energy")),"excluded",IF(OR($H81="Retail Power Marketer",$H81="Community Choice Aggregator",$E81="Energy"),"procurement",IF(OR($H81="Municipal",$H81="Cooperative",$H81="Federal",$H81="State",$H81="Political Subdivision"),"cost_service",IF($H81="Investor Owned",IF(AND(COUNTIF(Parameters!$A$4:$A$33,$G81)&gt;0,COUNTIF(Parameters!$B$4:$B$33,$B81)=0),"procurement","cost_service"),"unclassified"))))))</f>
        <v/>
      </c>
    </row>
    <row r="82">
      <c r="A82" t="n">
        <v>2024</v>
      </c>
      <c r="B82" t="n">
        <v>19162</v>
      </c>
      <c r="C82" t="inlineStr">
        <is>
          <t>Tri-County Elec Member Corp (TN)</t>
        </is>
      </c>
      <c r="D82" t="inlineStr">
        <is>
          <t>A</t>
        </is>
      </c>
      <c r="E82" t="inlineStr">
        <is>
          <t>Bundled</t>
        </is>
      </c>
      <c r="F82" t="inlineStr">
        <is>
          <t>O</t>
        </is>
      </c>
      <c r="G82" t="inlineStr">
        <is>
          <t>TN</t>
        </is>
      </c>
      <c r="H82" t="inlineStr">
        <is>
          <t>Cooperative</t>
        </is>
      </c>
      <c r="I82" t="inlineStr">
        <is>
          <t>TVA</t>
        </is>
      </c>
      <c r="J82" t="n">
        <v>45666</v>
      </c>
      <c r="K82" t="n">
        <v>370247</v>
      </c>
      <c r="L82" t="n">
        <v>24824</v>
      </c>
      <c r="M82" t="n">
        <v>22321</v>
      </c>
      <c r="N82" t="n">
        <v>172614</v>
      </c>
      <c r="O82" t="n">
        <v>5681</v>
      </c>
      <c r="P82" t="n">
        <v>771</v>
      </c>
      <c r="Q82" t="n">
        <v>10809</v>
      </c>
      <c r="R82" t="n">
        <v>2</v>
      </c>
      <c r="S82" t="n">
        <v>0</v>
      </c>
      <c r="T82" t="n">
        <v>0</v>
      </c>
      <c r="U82" t="n">
        <v>0</v>
      </c>
      <c r="V82" t="n">
        <v>68758</v>
      </c>
      <c r="W82" t="n">
        <v>553670</v>
      </c>
      <c r="X82" t="n">
        <v>30507</v>
      </c>
      <c r="Y82">
        <f>IF(ISNUMBER($W82),$W82,0)</f>
        <v/>
      </c>
      <c r="Z82">
        <f>IF(ISNUMBER(SEARCH("Adjustment",$C82)),"excluded",IF($H82="Behind the Meter","excluded",IF(NOT(OR($E82="Bundled",$E82="Energy")),"excluded",IF(OR($H82="Retail Power Marketer",$H82="Community Choice Aggregator",$E82="Energy"),"procurement",IF(OR($H82="Municipal",$H82="Cooperative",$H82="Federal",$H82="State",$H82="Political Subdivision"),"cost_service",IF($H82="Investor Owned",IF(AND(COUNTIF(Parameters!$A$4:$A$33,$G82)&gt;0,COUNTIF(Parameters!$B$4:$B$33,$B82)=0),"procurement","cost_service"),"unclassified"))))))</f>
        <v/>
      </c>
    </row>
    <row r="83">
      <c r="A83" t="n">
        <v>2024</v>
      </c>
      <c r="B83" t="n">
        <v>19266</v>
      </c>
      <c r="C83" t="inlineStr">
        <is>
          <t>Tullahoma Board-Public Utils</t>
        </is>
      </c>
      <c r="D83" t="inlineStr">
        <is>
          <t>A</t>
        </is>
      </c>
      <c r="E83" t="inlineStr">
        <is>
          <t>Bundled</t>
        </is>
      </c>
      <c r="F83" t="inlineStr">
        <is>
          <t>O</t>
        </is>
      </c>
      <c r="G83" t="inlineStr">
        <is>
          <t>TN</t>
        </is>
      </c>
      <c r="H83" t="inlineStr">
        <is>
          <t>Municipal</t>
        </is>
      </c>
      <c r="I83" t="inlineStr">
        <is>
          <t>TVA</t>
        </is>
      </c>
      <c r="J83" t="n">
        <v>14248</v>
      </c>
      <c r="K83" t="n">
        <v>127490</v>
      </c>
      <c r="L83" t="n">
        <v>9278</v>
      </c>
      <c r="M83" t="n">
        <v>15131</v>
      </c>
      <c r="N83" t="n">
        <v>134176</v>
      </c>
      <c r="O83" t="n">
        <v>2014</v>
      </c>
      <c r="P83" t="n">
        <v>1571</v>
      </c>
      <c r="Q83" t="n">
        <v>18146</v>
      </c>
      <c r="R83" t="n">
        <v>3</v>
      </c>
      <c r="S83" t="n">
        <v>0</v>
      </c>
      <c r="T83" t="n">
        <v>0</v>
      </c>
      <c r="U83" t="n">
        <v>0</v>
      </c>
      <c r="V83" t="n">
        <v>30950</v>
      </c>
      <c r="W83" t="n">
        <v>279812</v>
      </c>
      <c r="X83" t="n">
        <v>11295</v>
      </c>
      <c r="Y83">
        <f>IF(ISNUMBER($W83),$W83,0)</f>
        <v/>
      </c>
      <c r="Z83">
        <f>IF(ISNUMBER(SEARCH("Adjustment",$C83)),"excluded",IF($H83="Behind the Meter","excluded",IF(NOT(OR($E83="Bundled",$E83="Energy")),"excluded",IF(OR($H83="Retail Power Marketer",$H83="Community Choice Aggregator",$E83="Energy"),"procurement",IF(OR($H83="Municipal",$H83="Cooperative",$H83="Federal",$H83="State",$H83="Political Subdivision"),"cost_service",IF($H83="Investor Owned",IF(AND(COUNTIF(Parameters!$A$4:$A$33,$G83)&gt;0,COUNTIF(Parameters!$B$4:$B$33,$B83)=0),"procurement","cost_service"),"unclassified"))))))</f>
        <v/>
      </c>
    </row>
    <row r="84">
      <c r="A84" t="n">
        <v>2024</v>
      </c>
      <c r="B84" t="n">
        <v>19430</v>
      </c>
      <c r="C84" t="inlineStr">
        <is>
          <t>City of Union City</t>
        </is>
      </c>
      <c r="D84" t="inlineStr">
        <is>
          <t>A</t>
        </is>
      </c>
      <c r="E84" t="inlineStr">
        <is>
          <t>Bundled</t>
        </is>
      </c>
      <c r="F84" t="inlineStr">
        <is>
          <t>O</t>
        </is>
      </c>
      <c r="G84" t="inlineStr">
        <is>
          <t>TN</t>
        </is>
      </c>
      <c r="H84" t="inlineStr">
        <is>
          <t>Municipal</t>
        </is>
      </c>
      <c r="I84" t="inlineStr">
        <is>
          <t>TVA</t>
        </is>
      </c>
      <c r="J84" t="n">
        <v>7184</v>
      </c>
      <c r="K84" t="n">
        <v>63511</v>
      </c>
      <c r="L84" t="n">
        <v>5203</v>
      </c>
      <c r="M84" t="n">
        <v>10290</v>
      </c>
      <c r="N84" t="n">
        <v>86905</v>
      </c>
      <c r="O84" t="n">
        <v>1275</v>
      </c>
      <c r="P84" t="n">
        <v>11323</v>
      </c>
      <c r="Q84" t="n">
        <v>159681</v>
      </c>
      <c r="R84" t="n">
        <v>5</v>
      </c>
      <c r="S84" t="n">
        <v>0</v>
      </c>
      <c r="T84" t="n">
        <v>0</v>
      </c>
      <c r="U84" t="n">
        <v>0</v>
      </c>
      <c r="V84" t="n">
        <v>28797</v>
      </c>
      <c r="W84" t="n">
        <v>310097</v>
      </c>
      <c r="X84" t="n">
        <v>6483</v>
      </c>
      <c r="Y84">
        <f>IF(ISNUMBER($W84),$W84,0)</f>
        <v/>
      </c>
      <c r="Z84">
        <f>IF(ISNUMBER(SEARCH("Adjustment",$C84)),"excluded",IF($H84="Behind the Meter","excluded",IF(NOT(OR($E84="Bundled",$E84="Energy")),"excluded",IF(OR($H84="Retail Power Marketer",$H84="Community Choice Aggregator",$E84="Energy"),"procurement",IF(OR($H84="Municipal",$H84="Cooperative",$H84="Federal",$H84="State",$H84="Political Subdivision"),"cost_service",IF($H84="Investor Owned",IF(AND(COUNTIF(Parameters!$A$4:$A$33,$G84)&gt;0,COUNTIF(Parameters!$B$4:$B$33,$B84)=0),"procurement","cost_service"),"unclassified"))))))</f>
        <v/>
      </c>
    </row>
    <row r="85">
      <c r="A85" t="n">
        <v>2024</v>
      </c>
      <c r="B85" t="n">
        <v>19574</v>
      </c>
      <c r="C85" t="inlineStr">
        <is>
          <t>Upper Cumberland E M C</t>
        </is>
      </c>
      <c r="D85" t="inlineStr">
        <is>
          <t>A</t>
        </is>
      </c>
      <c r="E85" t="inlineStr">
        <is>
          <t>Bundled</t>
        </is>
      </c>
      <c r="F85" t="inlineStr">
        <is>
          <t>O</t>
        </is>
      </c>
      <c r="G85" t="inlineStr">
        <is>
          <t>TN</t>
        </is>
      </c>
      <c r="H85" t="inlineStr">
        <is>
          <t>Cooperative</t>
        </is>
      </c>
      <c r="I85" t="inlineStr">
        <is>
          <t>TVA</t>
        </is>
      </c>
      <c r="J85" t="n">
        <v>82319</v>
      </c>
      <c r="K85" t="n">
        <v>644627</v>
      </c>
      <c r="L85" t="n">
        <v>45560</v>
      </c>
      <c r="M85" t="n">
        <v>37244</v>
      </c>
      <c r="N85" t="n">
        <v>272359</v>
      </c>
      <c r="O85" t="n">
        <v>8620</v>
      </c>
      <c r="P85" t="n">
        <v>9913</v>
      </c>
      <c r="Q85" t="n">
        <v>119988</v>
      </c>
      <c r="R85" t="n">
        <v>10</v>
      </c>
      <c r="S85" t="n">
        <v>0</v>
      </c>
      <c r="T85" t="n">
        <v>0</v>
      </c>
      <c r="U85" t="n">
        <v>0</v>
      </c>
      <c r="V85" t="n">
        <v>129476</v>
      </c>
      <c r="W85" t="n">
        <v>1036974</v>
      </c>
      <c r="X85" t="n">
        <v>54190</v>
      </c>
      <c r="Y85">
        <f>IF(ISNUMBER($W85),$W85,0)</f>
        <v/>
      </c>
      <c r="Z85">
        <f>IF(ISNUMBER(SEARCH("Adjustment",$C85)),"excluded",IF($H85="Behind the Meter","excluded",IF(NOT(OR($E85="Bundled",$E85="Energy")),"excluded",IF(OR($H85="Retail Power Marketer",$H85="Community Choice Aggregator",$E85="Energy"),"procurement",IF(OR($H85="Municipal",$H85="Cooperative",$H85="Federal",$H85="State",$H85="Political Subdivision"),"cost_service",IF($H85="Investor Owned",IF(AND(COUNTIF(Parameters!$A$4:$A$33,$G85)&gt;0,COUNTIF(Parameters!$B$4:$B$33,$B85)=0),"procurement","cost_service"),"unclassified"))))))</f>
        <v/>
      </c>
    </row>
    <row r="86">
      <c r="A86" t="n">
        <v>2024</v>
      </c>
      <c r="B86" t="n">
        <v>19898</v>
      </c>
      <c r="C86" t="inlineStr">
        <is>
          <t>Volunteer Electric Coop</t>
        </is>
      </c>
      <c r="D86" t="inlineStr">
        <is>
          <t>A</t>
        </is>
      </c>
      <c r="E86" t="inlineStr">
        <is>
          <t>Bundled</t>
        </is>
      </c>
      <c r="F86" t="inlineStr">
        <is>
          <t>O</t>
        </is>
      </c>
      <c r="G86" t="inlineStr">
        <is>
          <t>TN</t>
        </is>
      </c>
      <c r="H86" t="inlineStr">
        <is>
          <t>Cooperative</t>
        </is>
      </c>
      <c r="I86" t="inlineStr">
        <is>
          <t>TVA</t>
        </is>
      </c>
      <c r="J86" t="n">
        <v>180630</v>
      </c>
      <c r="K86" t="n">
        <v>1481331</v>
      </c>
      <c r="L86" t="n">
        <v>104387</v>
      </c>
      <c r="M86" t="n">
        <v>79529</v>
      </c>
      <c r="N86" t="n">
        <v>628824</v>
      </c>
      <c r="O86" t="n">
        <v>24098</v>
      </c>
      <c r="P86" t="n">
        <v>27334</v>
      </c>
      <c r="Q86" t="n">
        <v>456245</v>
      </c>
      <c r="R86" t="n">
        <v>17</v>
      </c>
      <c r="S86" t="n">
        <v>0</v>
      </c>
      <c r="T86" t="n">
        <v>0</v>
      </c>
      <c r="U86" t="n">
        <v>0</v>
      </c>
      <c r="V86" t="n">
        <v>287493</v>
      </c>
      <c r="W86" t="n">
        <v>2566400</v>
      </c>
      <c r="X86" t="n">
        <v>128502</v>
      </c>
      <c r="Y86">
        <f>IF(ISNUMBER($W86),$W86,0)</f>
        <v/>
      </c>
      <c r="Z86">
        <f>IF(ISNUMBER(SEARCH("Adjustment",$C86)),"excluded",IF($H86="Behind the Meter","excluded",IF(NOT(OR($E86="Bundled",$E86="Energy")),"excluded",IF(OR($H86="Retail Power Marketer",$H86="Community Choice Aggregator",$E86="Energy"),"procurement",IF(OR($H86="Municipal",$H86="Cooperative",$H86="Federal",$H86="State",$H86="Political Subdivision"),"cost_service",IF($H86="Investor Owned",IF(AND(COUNTIF(Parameters!$A$4:$A$33,$G86)&gt;0,COUNTIF(Parameters!$B$4:$B$33,$B86)=0),"procurement","cost_service"),"unclassified"))))))</f>
        <v/>
      </c>
    </row>
    <row r="87">
      <c r="A87" t="n">
        <v>2024</v>
      </c>
      <c r="B87" t="n">
        <v>20228</v>
      </c>
      <c r="C87" t="inlineStr">
        <is>
          <t>Weakley County Mun Elec Sys</t>
        </is>
      </c>
      <c r="D87" t="inlineStr">
        <is>
          <t>A</t>
        </is>
      </c>
      <c r="E87" t="inlineStr">
        <is>
          <t>Bundled</t>
        </is>
      </c>
      <c r="F87" t="inlineStr">
        <is>
          <t>O</t>
        </is>
      </c>
      <c r="G87" t="inlineStr">
        <is>
          <t>TN</t>
        </is>
      </c>
      <c r="H87" t="inlineStr">
        <is>
          <t>Municipal</t>
        </is>
      </c>
      <c r="I87" t="inlineStr">
        <is>
          <t>TVA</t>
        </is>
      </c>
      <c r="J87" t="n">
        <v>26706</v>
      </c>
      <c r="K87" t="n">
        <v>236469</v>
      </c>
      <c r="L87" t="n">
        <v>15315</v>
      </c>
      <c r="M87" t="n">
        <v>22158</v>
      </c>
      <c r="N87" t="n">
        <v>188404</v>
      </c>
      <c r="O87" t="n">
        <v>5573</v>
      </c>
      <c r="P87" t="n">
        <v>3062</v>
      </c>
      <c r="Q87" t="n">
        <v>32733</v>
      </c>
      <c r="R87" t="n">
        <v>5</v>
      </c>
      <c r="S87" t="n">
        <v>0</v>
      </c>
      <c r="T87" t="n">
        <v>0</v>
      </c>
      <c r="U87" t="n">
        <v>0</v>
      </c>
      <c r="V87" t="n">
        <v>51926</v>
      </c>
      <c r="W87" t="n">
        <v>457606</v>
      </c>
      <c r="X87" t="n">
        <v>20893</v>
      </c>
      <c r="Y87">
        <f>IF(ISNUMBER($W87),$W87,0)</f>
        <v/>
      </c>
      <c r="Z87">
        <f>IF(ISNUMBER(SEARCH("Adjustment",$C87)),"excluded",IF($H87="Behind the Meter","excluded",IF(NOT(OR($E87="Bundled",$E87="Energy")),"excluded",IF(OR($H87="Retail Power Marketer",$H87="Community Choice Aggregator",$E87="Energy"),"procurement",IF(OR($H87="Municipal",$H87="Cooperative",$H87="Federal",$H87="State",$H87="Political Subdivision"),"cost_service",IF($H87="Investor Owned",IF(AND(COUNTIF(Parameters!$A$4:$A$33,$G87)&gt;0,COUNTIF(Parameters!$B$4:$B$33,$B87)=0),"procurement","cost_service"),"unclassified"))))))</f>
        <v/>
      </c>
    </row>
    <row r="88">
      <c r="A88" t="n">
        <v>2024</v>
      </c>
      <c r="B88" t="n">
        <v>20793</v>
      </c>
      <c r="C88" t="inlineStr">
        <is>
          <t>City of Winchester - (TN)</t>
        </is>
      </c>
      <c r="D88" t="inlineStr">
        <is>
          <t>A</t>
        </is>
      </c>
      <c r="E88" t="inlineStr">
        <is>
          <t>Bundled</t>
        </is>
      </c>
      <c r="F88" t="inlineStr">
        <is>
          <t>O</t>
        </is>
      </c>
      <c r="G88" t="inlineStr">
        <is>
          <t>TN</t>
        </is>
      </c>
      <c r="H88" t="inlineStr">
        <is>
          <t>Municipal</t>
        </is>
      </c>
      <c r="I88" t="inlineStr">
        <is>
          <t>TVA</t>
        </is>
      </c>
      <c r="J88" t="n">
        <v>8272</v>
      </c>
      <c r="K88" t="n">
        <v>70034</v>
      </c>
      <c r="L88" t="n">
        <v>5292</v>
      </c>
      <c r="M88" t="n">
        <v>8749</v>
      </c>
      <c r="N88" t="n">
        <v>72813</v>
      </c>
      <c r="O88" t="n">
        <v>1539</v>
      </c>
      <c r="P88" t="n">
        <v>2756</v>
      </c>
      <c r="Q88" t="n">
        <v>28330</v>
      </c>
      <c r="R88" t="n">
        <v>4</v>
      </c>
      <c r="S88" t="n">
        <v>0</v>
      </c>
      <c r="T88" t="n">
        <v>0</v>
      </c>
      <c r="U88" t="n">
        <v>0</v>
      </c>
      <c r="V88" t="n">
        <v>19777</v>
      </c>
      <c r="W88" t="n">
        <v>171177</v>
      </c>
      <c r="X88" t="n">
        <v>6835</v>
      </c>
      <c r="Y88">
        <f>IF(ISNUMBER($W88),$W88,0)</f>
        <v/>
      </c>
      <c r="Z88">
        <f>IF(ISNUMBER(SEARCH("Adjustment",$C88)),"excluded",IF($H88="Behind the Meter","excluded",IF(NOT(OR($E88="Bundled",$E88="Energy")),"excluded",IF(OR($H88="Retail Power Marketer",$H88="Community Choice Aggregator",$E88="Energy"),"procurement",IF(OR($H88="Municipal",$H88="Cooperative",$H88="Federal",$H88="State",$H88="Political Subdivision"),"cost_service",IF($H88="Investor Owned",IF(AND(COUNTIF(Parameters!$A$4:$A$33,$G88)&gt;0,COUNTIF(Parameters!$B$4:$B$33,$B88)=0),"procurement","cost_service"),"unclassified"))))))</f>
        <v/>
      </c>
    </row>
    <row r="89">
      <c r="A89" t="n">
        <v>2024</v>
      </c>
      <c r="B89" t="n">
        <v>27222</v>
      </c>
      <c r="C89" t="inlineStr">
        <is>
          <t>City of Ripley - (TN)</t>
        </is>
      </c>
      <c r="D89" t="inlineStr">
        <is>
          <t>A</t>
        </is>
      </c>
      <c r="E89" t="inlineStr">
        <is>
          <t>Bundled</t>
        </is>
      </c>
      <c r="F89" t="inlineStr">
        <is>
          <t>O</t>
        </is>
      </c>
      <c r="G89" t="inlineStr">
        <is>
          <t>TN</t>
        </is>
      </c>
      <c r="H89" t="inlineStr">
        <is>
          <t>Municipal</t>
        </is>
      </c>
      <c r="I89" t="inlineStr">
        <is>
          <t>TVA</t>
        </is>
      </c>
      <c r="J89" t="n">
        <v>8167</v>
      </c>
      <c r="K89" t="n">
        <v>66145</v>
      </c>
      <c r="L89" t="n">
        <v>5106</v>
      </c>
      <c r="M89" t="n">
        <v>8516</v>
      </c>
      <c r="N89" t="n">
        <v>64821</v>
      </c>
      <c r="O89" t="n">
        <v>1555</v>
      </c>
      <c r="P89" t="n">
        <v>1982</v>
      </c>
      <c r="Q89" t="n">
        <v>23360</v>
      </c>
      <c r="R89" t="n">
        <v>2</v>
      </c>
      <c r="S89" t="n">
        <v>0</v>
      </c>
      <c r="T89" t="n">
        <v>0</v>
      </c>
      <c r="U89" t="n">
        <v>0</v>
      </c>
      <c r="V89" t="n">
        <v>18665</v>
      </c>
      <c r="W89" t="n">
        <v>154326</v>
      </c>
      <c r="X89" t="n">
        <v>6663</v>
      </c>
      <c r="Y89">
        <f>IF(ISNUMBER($W89),$W89,0)</f>
        <v/>
      </c>
      <c r="Z89">
        <f>IF(ISNUMBER(SEARCH("Adjustment",$C89)),"excluded",IF($H89="Behind the Meter","excluded",IF(NOT(OR($E89="Bundled",$E89="Energy")),"excluded",IF(OR($H89="Retail Power Marketer",$H89="Community Choice Aggregator",$E89="Energy"),"procurement",IF(OR($H89="Municipal",$H89="Cooperative",$H89="Federal",$H89="State",$H89="Political Subdivision"),"cost_service",IF($H89="Investor Owned",IF(AND(COUNTIF(Parameters!$A$4:$A$33,$G89)&gt;0,COUNTIF(Parameters!$B$4:$B$33,$B89)=0),"procurement","cost_service"),"unclassified"))))))</f>
        <v/>
      </c>
    </row>
    <row r="90">
      <c r="A90" t="n">
        <v>2024</v>
      </c>
      <c r="B90" t="n">
        <v>40166</v>
      </c>
      <c r="C90" t="inlineStr">
        <is>
          <t>Chickasaw Electric Coop, Inc</t>
        </is>
      </c>
      <c r="D90" t="inlineStr">
        <is>
          <t>A</t>
        </is>
      </c>
      <c r="E90" t="inlineStr">
        <is>
          <t>Bundled</t>
        </is>
      </c>
      <c r="F90" t="inlineStr">
        <is>
          <t>O</t>
        </is>
      </c>
      <c r="G90" t="inlineStr">
        <is>
          <t>TN</t>
        </is>
      </c>
      <c r="H90" t="inlineStr">
        <is>
          <t>Cooperative</t>
        </is>
      </c>
      <c r="I90" t="inlineStr">
        <is>
          <t>TVA</t>
        </is>
      </c>
      <c r="J90" t="n">
        <v>35972</v>
      </c>
      <c r="K90" t="n">
        <v>326957</v>
      </c>
      <c r="L90" t="n">
        <v>19576</v>
      </c>
      <c r="M90" t="n">
        <v>20326</v>
      </c>
      <c r="N90" t="n">
        <v>180362</v>
      </c>
      <c r="O90" t="n">
        <v>3527</v>
      </c>
      <c r="P90" t="n">
        <v>1736</v>
      </c>
      <c r="Q90" t="n">
        <v>29927</v>
      </c>
      <c r="R90" t="n">
        <v>3</v>
      </c>
      <c r="S90" t="n">
        <v>0</v>
      </c>
      <c r="T90" t="n">
        <v>0</v>
      </c>
      <c r="U90" t="n">
        <v>0</v>
      </c>
      <c r="V90" t="n">
        <v>58034</v>
      </c>
      <c r="W90" t="n">
        <v>537246</v>
      </c>
      <c r="X90" t="n">
        <v>23106</v>
      </c>
      <c r="Y90">
        <f>IF(ISNUMBER($W90),$W90,0)</f>
        <v/>
      </c>
      <c r="Z90">
        <f>IF(ISNUMBER(SEARCH("Adjustment",$C90)),"excluded",IF($H90="Behind the Meter","excluded",IF(NOT(OR($E90="Bundled",$E90="Energy")),"excluded",IF(OR($H90="Retail Power Marketer",$H90="Community Choice Aggregator",$E90="Energy"),"procurement",IF(OR($H90="Municipal",$H90="Cooperative",$H90="Federal",$H90="State",$H90="Political Subdivision"),"cost_service",IF($H90="Investor Owned",IF(AND(COUNTIF(Parameters!$A$4:$A$33,$G90)&gt;0,COUNTIF(Parameters!$B$4:$B$33,$B90)=0),"procurement","cost_service"),"unclassified"))))))</f>
        <v/>
      </c>
    </row>
    <row r="91">
      <c r="A91" t="n">
        <v>2024</v>
      </c>
      <c r="B91" t="n">
        <v>40236</v>
      </c>
      <c r="C91" t="inlineStr">
        <is>
          <t>Forked Deer Electric Coop, Inc</t>
        </is>
      </c>
      <c r="D91" t="inlineStr">
        <is>
          <t>A</t>
        </is>
      </c>
      <c r="E91" t="inlineStr">
        <is>
          <t>Bundled</t>
        </is>
      </c>
      <c r="F91" t="inlineStr">
        <is>
          <t>O</t>
        </is>
      </c>
      <c r="G91" t="inlineStr">
        <is>
          <t>TN</t>
        </is>
      </c>
      <c r="H91" t="inlineStr">
        <is>
          <t>Cooperative</t>
        </is>
      </c>
      <c r="I91" t="inlineStr">
        <is>
          <t>TVA</t>
        </is>
      </c>
      <c r="J91" t="n">
        <v>18878</v>
      </c>
      <c r="K91" t="n">
        <v>131721</v>
      </c>
      <c r="L91" t="n">
        <v>8345</v>
      </c>
      <c r="M91" t="n">
        <v>4982</v>
      </c>
      <c r="N91" t="n">
        <v>25347</v>
      </c>
      <c r="O91" t="n">
        <v>1797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23860</v>
      </c>
      <c r="W91" t="n">
        <v>157068</v>
      </c>
      <c r="X91" t="n">
        <v>10142</v>
      </c>
      <c r="Y91">
        <f>IF(ISNUMBER($W91),$W91,0)</f>
        <v/>
      </c>
      <c r="Z91">
        <f>IF(ISNUMBER(SEARCH("Adjustment",$C91)),"excluded",IF($H91="Behind the Meter","excluded",IF(NOT(OR($E91="Bundled",$E91="Energy")),"excluded",IF(OR($H91="Retail Power Marketer",$H91="Community Choice Aggregator",$E91="Energy"),"procurement",IF(OR($H91="Municipal",$H91="Cooperative",$H91="Federal",$H91="State",$H91="Political Subdivision"),"cost_service",IF($H91="Investor Owned",IF(AND(COUNTIF(Parameters!$A$4:$A$33,$G91)&gt;0,COUNTIF(Parameters!$B$4:$B$33,$B91)=0),"procurement","cost_service"),"unclassified"))))))</f>
        <v/>
      </c>
    </row>
    <row r="92">
      <c r="A92" t="n">
        <v>2024</v>
      </c>
      <c r="B92" t="n">
        <v>60025</v>
      </c>
      <c r="C92" t="inlineStr">
        <is>
          <t>Greenbacker Renewable Energy Corporation</t>
        </is>
      </c>
      <c r="D92" t="inlineStr">
        <is>
          <t>A</t>
        </is>
      </c>
      <c r="E92" t="inlineStr">
        <is>
          <t>Bundled</t>
        </is>
      </c>
      <c r="F92" t="inlineStr">
        <is>
          <t>O</t>
        </is>
      </c>
      <c r="G92" t="inlineStr">
        <is>
          <t>TN</t>
        </is>
      </c>
      <c r="H92" t="inlineStr">
        <is>
          <t>Behind the Meter</t>
        </is>
      </c>
      <c r="I92" t="inlineStr">
        <is>
          <t>PJM</t>
        </is>
      </c>
      <c r="J92" t="n">
        <v>0</v>
      </c>
      <c r="K92" t="n">
        <v>0</v>
      </c>
      <c r="L92" t="n">
        <v>0</v>
      </c>
      <c r="M92" t="n">
        <v>484</v>
      </c>
      <c r="N92" t="n">
        <v>5025</v>
      </c>
      <c r="O92" t="n">
        <v>15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484</v>
      </c>
      <c r="W92" t="n">
        <v>5025</v>
      </c>
      <c r="X92" t="n">
        <v>15</v>
      </c>
      <c r="Y92">
        <f>IF(ISNUMBER($W92),$W92,0)</f>
        <v/>
      </c>
      <c r="Z92">
        <f>IF(ISNUMBER(SEARCH("Adjustment",$C92)),"excluded",IF($H92="Behind the Meter","excluded",IF(NOT(OR($E92="Bundled",$E92="Energy")),"excluded",IF(OR($H92="Retail Power Marketer",$H92="Community Choice Aggregator",$E92="Energy"),"procurement",IF(OR($H92="Municipal",$H92="Cooperative",$H92="Federal",$H92="State",$H92="Political Subdivision"),"cost_service",IF($H92="Investor Owned",IF(AND(COUNTIF(Parameters!$A$4:$A$33,$G92)&gt;0,COUNTIF(Parameters!$B$4:$B$33,$B92)=0),"procurement","cost_service"),"unclassified"))))))</f>
        <v/>
      </c>
    </row>
    <row r="93">
      <c r="A93" t="n">
        <v>2024</v>
      </c>
      <c r="B93" t="n">
        <v>99999</v>
      </c>
      <c r="C93" t="inlineStr">
        <is>
          <t>Adjustment 2024</t>
        </is>
      </c>
      <c r="D93" t="inlineStr">
        <is>
          <t>A</t>
        </is>
      </c>
      <c r="E93" t="inlineStr">
        <is>
          <t>Bundled</t>
        </is>
      </c>
      <c r="F93" t="inlineStr">
        <is>
          <t>I</t>
        </is>
      </c>
      <c r="G93" t="inlineStr">
        <is>
          <t>TN</t>
        </is>
      </c>
      <c r="H93" t="inlineStr"/>
      <c r="I93" t="inlineStr">
        <is>
          <t>PJM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-15</v>
      </c>
      <c r="P93" t="n">
        <v>3145</v>
      </c>
      <c r="Q93" t="n">
        <v>45121</v>
      </c>
      <c r="R93" t="n">
        <v>1</v>
      </c>
      <c r="S93" t="n">
        <v>0</v>
      </c>
      <c r="T93" t="n">
        <v>0</v>
      </c>
      <c r="U93" t="n">
        <v>0</v>
      </c>
      <c r="V93" t="n">
        <v>3145</v>
      </c>
      <c r="W93" t="n">
        <v>45121</v>
      </c>
      <c r="X93" t="n">
        <v>-14</v>
      </c>
      <c r="Y93">
        <f>IF(ISNUMBER($W93),$W93,0)</f>
        <v/>
      </c>
      <c r="Z93">
        <f>IF(ISNUMBER(SEARCH("Adjustment",$C93)),"excluded",IF($H93="Behind the Meter","excluded",IF(NOT(OR($E93="Bundled",$E93="Energy")),"excluded",IF(OR($H93="Retail Power Marketer",$H93="Community Choice Aggregator",$E93="Energy"),"procurement",IF(OR($H93="Municipal",$H93="Cooperative",$H93="Federal",$H93="State",$H93="Political Subdivision"),"cost_service",IF($H93="Investor Owned",IF(AND(COUNTIF(Parameters!$A$4:$A$33,$G93)&gt;0,COUNTIF(Parameters!$B$4:$B$33,$B93)=0),"procurement","cost_service"),"unclassified"))))))</f>
        <v/>
      </c>
    </row>
    <row r="94">
      <c r="A94" t="n">
        <v>2024</v>
      </c>
      <c r="B94" t="n">
        <v>99999</v>
      </c>
      <c r="C94" t="inlineStr">
        <is>
          <t>Adjustment 2024</t>
        </is>
      </c>
      <c r="D94" t="inlineStr">
        <is>
          <t>A</t>
        </is>
      </c>
      <c r="E94" t="inlineStr">
        <is>
          <t>Bundled</t>
        </is>
      </c>
      <c r="F94" t="inlineStr">
        <is>
          <t>I</t>
        </is>
      </c>
      <c r="G94" t="inlineStr">
        <is>
          <t>TN</t>
        </is>
      </c>
      <c r="H94" t="inlineStr"/>
      <c r="I94" t="inlineStr">
        <is>
          <t>TVA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76</v>
      </c>
      <c r="Q94" t="n">
        <v>11709</v>
      </c>
      <c r="R94" t="n">
        <v>1</v>
      </c>
      <c r="S94" t="n">
        <v>0</v>
      </c>
      <c r="T94" t="n">
        <v>0</v>
      </c>
      <c r="U94" t="n">
        <v>0</v>
      </c>
      <c r="V94" t="n">
        <v>76</v>
      </c>
      <c r="W94" t="n">
        <v>11709</v>
      </c>
      <c r="X94" t="n">
        <v>1</v>
      </c>
      <c r="Y94">
        <f>IF(ISNUMBER($W94),$W94,0)</f>
        <v/>
      </c>
      <c r="Z94">
        <f>IF(ISNUMBER(SEARCH("Adjustment",$C94)),"excluded",IF($H94="Behind the Meter","excluded",IF(NOT(OR($E94="Bundled",$E94="Energy")),"excluded",IF(OR($H94="Retail Power Marketer",$H94="Community Choice Aggregator",$E94="Energy"),"procurement",IF(OR($H94="Municipal",$H94="Cooperative",$H94="Federal",$H94="State",$H94="Political Subdivision"),"cost_service",IF($H94="Investor Owned",IF(AND(COUNTIF(Parameters!$A$4:$A$33,$G94)&gt;0,COUNTIF(Parameters!$B$4:$B$33,$B94)=0),"procurement","cost_service"),"unclassified"))))))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TN</t>
        </is>
      </c>
      <c r="B2">
        <f>SUMIFS('EIA-861 Sales 2024'!$Y$4:$Y$94,'EIA-861 Sales 2024'!$Z$4:$Z$94,"cost_service")</f>
        <v/>
      </c>
      <c r="C2">
        <f>SUMIFS('EIA-861 Sales 2024'!$Y$4:$Y$94,'EIA-861 Sales 2024'!$Z$4:$Z$94,"procurement")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2026-06-02T20:15:32Z</dcterms:created>
  <dcterms:modified xmlns:dcterms="http://purl.org/dc/terms/" xmlns:xsi="http://www.w3.org/2001/XMLSchema-instance" xsi:type="dcterms:W3CDTF">2026-06-02T20:15:32Z</dcterms:modified>
</cp:coreProperties>
</file>