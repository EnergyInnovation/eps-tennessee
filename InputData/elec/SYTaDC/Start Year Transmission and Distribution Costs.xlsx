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elec\SYTaDC\"/>
    </mc:Choice>
  </mc:AlternateContent>
  <xr:revisionPtr revIDLastSave="0" documentId="8_{5C0DF2D4-4785-4D60-84D7-9755CCB2B068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<sst xmlns="http://schemas.openxmlformats.org/spreadsheetml/2006/main" count="264" uniqueCount="144">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</sst>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100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TN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Tennessee</v>
      </c>
    </row>
    <row r="44" spans="1:42" x14ac:dyDescent="0.25">
      <c r="A44" t="s">
        <v>143</v>
      </c>
      <c r="B44" s="15">
        <f>SUMIFS('HIFLD Outputs'!$F$2:$F$49,'HIFLD Outputs'!$B$2:$B$49,'Data National'!$A$43)*B34</f>
        <v>3757264.9884453155</v>
      </c>
      <c r="C44" s="15">
        <f>SUMIFS('HIFLD Outputs'!$F$2:$F$49,'HIFLD Outputs'!$B$2:$B$49,'Data National'!$A$43)*C34</f>
        <v>3760120.0530262012</v>
      </c>
      <c r="D44" s="15">
        <f>SUMIFS('HIFLD Outputs'!$F$2:$F$49,'HIFLD Outputs'!$B$2:$B$49,'Data National'!$A$43)*D34</f>
        <v>3762975.1176070869</v>
      </c>
      <c r="E44" s="15">
        <f>SUMIFS('HIFLD Outputs'!$F$2:$F$49,'HIFLD Outputs'!$B$2:$B$49,'Data National'!$A$43)*E34</f>
        <v>3765830.1821879721</v>
      </c>
      <c r="F44" s="15">
        <f>SUMIFS('HIFLD Outputs'!$F$2:$F$49,'HIFLD Outputs'!$B$2:$B$49,'Data National'!$A$43)*F34</f>
        <v>3768685.2467688578</v>
      </c>
      <c r="G44" s="15">
        <f>SUMIFS('HIFLD Outputs'!$F$2:$F$49,'HIFLD Outputs'!$B$2:$B$49,'Data National'!$A$43)*G34</f>
        <v>3771540.3113497435</v>
      </c>
      <c r="H44" s="15">
        <f>SUMIFS('HIFLD Outputs'!$F$2:$F$49,'HIFLD Outputs'!$B$2:$B$49,'Data National'!$A$43)*H34</f>
        <v>3774395.3759306292</v>
      </c>
      <c r="I44" s="15">
        <f>SUMIFS('HIFLD Outputs'!$F$2:$F$49,'HIFLD Outputs'!$B$2:$B$49,'Data National'!$A$43)*I34</f>
        <v>3777250.4405115144</v>
      </c>
      <c r="J44" s="15">
        <f>SUMIFS('HIFLD Outputs'!$F$2:$F$49,'HIFLD Outputs'!$B$2:$B$49,'Data National'!$A$43)*J34</f>
        <v>3780105.5050924001</v>
      </c>
      <c r="K44" s="15">
        <f>SUMIFS('HIFLD Outputs'!$F$2:$F$49,'HIFLD Outputs'!$B$2:$B$49,'Data National'!$A$43)*K34</f>
        <v>3782960.5696732858</v>
      </c>
      <c r="L44" s="15">
        <f>SUMIFS('HIFLD Outputs'!$F$2:$F$49,'HIFLD Outputs'!$B$2:$B$49,'Data National'!$A$43)*L34</f>
        <v>3785815.6342541715</v>
      </c>
      <c r="M44" s="15">
        <f>SUMIFS('HIFLD Outputs'!$F$2:$F$49,'HIFLD Outputs'!$B$2:$B$49,'Data National'!$A$43)*M34</f>
        <v>3788670.6988350567</v>
      </c>
      <c r="N44" s="15">
        <f>SUMIFS('HIFLD Outputs'!$F$2:$F$49,'HIFLD Outputs'!$B$2:$B$49,'Data National'!$A$43)*N34</f>
        <v>3791525.7634159424</v>
      </c>
      <c r="O44" s="15">
        <f>SUMIFS('HIFLD Outputs'!$F$2:$F$49,'HIFLD Outputs'!$B$2:$B$49,'Data National'!$A$43)*O34</f>
        <v>3794380.8279968281</v>
      </c>
      <c r="P44" s="15">
        <f>SUMIFS('HIFLD Outputs'!$F$2:$F$49,'HIFLD Outputs'!$B$2:$B$49,'Data National'!$A$43)*P34</f>
        <v>3797235.8925777134</v>
      </c>
      <c r="Q44" s="15">
        <f>SUMIFS('HIFLD Outputs'!$F$2:$F$49,'HIFLD Outputs'!$B$2:$B$49,'Data National'!$A$43)*Q34</f>
        <v>3800090.957158599</v>
      </c>
      <c r="R44" s="15">
        <f>SUMIFS('HIFLD Outputs'!$F$2:$F$49,'HIFLD Outputs'!$B$2:$B$49,'Data National'!$A$43)*R34</f>
        <v>3802946.0217394847</v>
      </c>
      <c r="S44" s="15">
        <f>SUMIFS('HIFLD Outputs'!$F$2:$F$49,'HIFLD Outputs'!$B$2:$B$49,'Data National'!$A$43)*S34</f>
        <v>3805801.0863203704</v>
      </c>
      <c r="T44" s="15">
        <f>SUMIFS('HIFLD Outputs'!$F$2:$F$49,'HIFLD Outputs'!$B$2:$B$49,'Data National'!$A$43)*T34</f>
        <v>3808656.1509012557</v>
      </c>
      <c r="U44" s="15">
        <f>SUMIFS('HIFLD Outputs'!$F$2:$F$49,'HIFLD Outputs'!$B$2:$B$49,'Data National'!$A$43)*U34</f>
        <v>3811511.2154821414</v>
      </c>
      <c r="V44" s="15">
        <f>SUMIFS('HIFLD Outputs'!$F$2:$F$49,'HIFLD Outputs'!$B$2:$B$49,'Data National'!$A$43)*V34</f>
        <v>3814366.2800630271</v>
      </c>
      <c r="W44" s="15">
        <f>SUMIFS('HIFLD Outputs'!$F$2:$F$49,'HIFLD Outputs'!$B$2:$B$49,'Data National'!$A$43)*W34</f>
        <v>3817221.3446439123</v>
      </c>
      <c r="X44" s="15">
        <f>SUMIFS('HIFLD Outputs'!$F$2:$F$49,'HIFLD Outputs'!$B$2:$B$49,'Data National'!$A$43)*X34</f>
        <v>3820076.409224798</v>
      </c>
      <c r="Y44" s="15">
        <f>SUMIFS('HIFLD Outputs'!$F$2:$F$49,'HIFLD Outputs'!$B$2:$B$49,'Data National'!$A$43)*Y34</f>
        <v>3822931.4738056837</v>
      </c>
      <c r="Z44" s="15">
        <f>SUMIFS('HIFLD Outputs'!$F$2:$F$49,'HIFLD Outputs'!$B$2:$B$49,'Data National'!$A$43)*Z34</f>
        <v>3825786.5383865694</v>
      </c>
      <c r="AA44" s="15">
        <f>SUMIFS('HIFLD Outputs'!$F$2:$F$49,'HIFLD Outputs'!$B$2:$B$49,'Data National'!$A$43)*AA34</f>
        <v>3828641.6029674546</v>
      </c>
      <c r="AB44" s="15">
        <f>SUMIFS('HIFLD Outputs'!$F$2:$F$49,'HIFLD Outputs'!$B$2:$B$49,'Data National'!$A$43)*AB34</f>
        <v>3831496.6675483403</v>
      </c>
      <c r="AC44" s="15">
        <f>SUMIFS('HIFLD Outputs'!$F$2:$F$49,'HIFLD Outputs'!$B$2:$B$49,'Data National'!$A$43)*AC34</f>
        <v>3834351.732129226</v>
      </c>
      <c r="AD44" s="15">
        <f>SUMIFS('HIFLD Outputs'!$F$2:$F$49,'HIFLD Outputs'!$B$2:$B$49,'Data National'!$A$43)*AD34</f>
        <v>3837206.7967101117</v>
      </c>
      <c r="AE44" s="15">
        <f>SUMIFS('HIFLD Outputs'!$F$2:$F$49,'HIFLD Outputs'!$B$2:$B$49,'Data National'!$A$43)*AE34</f>
        <v>3840061.8612909969</v>
      </c>
      <c r="AF44" s="15">
        <f>SUMIFS('HIFLD Outputs'!$F$2:$F$49,'HIFLD Outputs'!$B$2:$B$49,'Data National'!$A$43)*AF34</f>
        <v>3842916.9258718826</v>
      </c>
      <c r="AG44" s="15">
        <f>SUMIFS('HIFLD Outputs'!$F$2:$F$49,'HIFLD Outputs'!$B$2:$B$49,'Data National'!$A$43)*AG34</f>
        <v>3845771.9904527683</v>
      </c>
      <c r="AH44" s="15">
        <f>SUMIFS('HIFLD Outputs'!$F$2:$F$49,'HIFLD Outputs'!$B$2:$B$49,'Data National'!$A$43)*AH34</f>
        <v>3848627.0550336535</v>
      </c>
      <c r="AI44" s="15">
        <f>SUMIFS('HIFLD Outputs'!$F$2:$F$49,'HIFLD Outputs'!$B$2:$B$49,'Data National'!$A$43)*AI34</f>
        <v>3851482.1196145392</v>
      </c>
      <c r="AJ44" s="15">
        <f>SUMIFS('HIFLD Outputs'!$F$2:$F$49,'HIFLD Outputs'!$B$2:$B$49,'Data National'!$A$43)*AJ34</f>
        <v>3854337.1841954249</v>
      </c>
      <c r="AK44" s="15">
        <f>SUMIFS('HIFLD Outputs'!$F$2:$F$49,'HIFLD Outputs'!$B$2:$B$49,'Data National'!$A$43)*AK34</f>
        <v>3857192.2487763106</v>
      </c>
      <c r="AL44" s="15">
        <f>SUMIFS('HIFLD Outputs'!$F$2:$F$49,'HIFLD Outputs'!$B$2:$B$49,'Data National'!$A$43)*AL34</f>
        <v>3860047.3133571958</v>
      </c>
      <c r="AM44" s="15">
        <f>SUMIFS('HIFLD Outputs'!$F$2:$F$49,'HIFLD Outputs'!$B$2:$B$49,'Data National'!$A$43)*AM34</f>
        <v>3862902.3779380815</v>
      </c>
      <c r="AN44" s="15">
        <f>SUMIFS('HIFLD Outputs'!$F$2:$F$49,'HIFLD Outputs'!$B$2:$B$49,'Data National'!$A$43)*AN34</f>
        <v>3865757.4425189672</v>
      </c>
      <c r="AO44" s="15">
        <f>SUMIFS('HIFLD Outputs'!$F$2:$F$49,'HIFLD Outputs'!$B$2:$B$49,'Data National'!$A$43)*AO34</f>
        <v>3868612.5070998529</v>
      </c>
      <c r="AP44" s="15">
        <f>SUMIFS('HIFLD Outputs'!$F$2:$F$49,'HIFLD Outputs'!$B$2:$B$49,'Data National'!$A$43)*AP34</f>
        <v>3871467.5716807381</v>
      </c>
    </row>
    <row r="45" spans="1:42" x14ac:dyDescent="0.25">
      <c r="A45" s="16" t="s">
        <v>15</v>
      </c>
      <c r="B45" s="17">
        <f>B37*SUMIFS('HIFLD Outputs'!$F$2:$F$49,'HIFLD Outputs'!$B$2:$B$49,$A$43)</f>
        <v>301982091.0647586</v>
      </c>
    </row>
    <row r="46" spans="1:42" x14ac:dyDescent="0.25">
      <c r="A46" s="16" t="s">
        <v>14</v>
      </c>
      <c r="B46" s="17">
        <f>B38*SUMIFS('HIFLD Outputs'!$F$2:$F$49,'HIFLD Outputs'!$B$2:$B$49,$A$43)</f>
        <v>474803167.27651799</v>
      </c>
    </row>
    <row r="47" spans="1:42" x14ac:dyDescent="0.25">
      <c r="A47" s="16" t="s">
        <v>16</v>
      </c>
      <c r="B47" s="17">
        <f>B39*SUMIFS('HIFLD Outputs'!$F$2:$F$49,'HIFLD Outputs'!$B$2:$B$49,$A$43)</f>
        <v>427504767.47119439</v>
      </c>
    </row>
    <row r="48" spans="1:42" x14ac:dyDescent="0.25">
      <c r="A48" s="16" t="s">
        <v>17</v>
      </c>
      <c r="B48" s="17">
        <f>B40*SUMIFS('HIFLD Outputs'!$F$2:$F$49,'HIFLD Outputs'!$B$2:$B$49,$A$43)</f>
        <v>571219136.11044693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301982091.0647586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474803167.27651799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427504767.47119439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571219136.11044693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2026-06-12T20:50:30Z</dcterms:modified>
</cp:coreProperties>
</file>